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est cases" sheetId="2" state="visible" r:id="rId2"/>
    <sheet xmlns:r="http://schemas.openxmlformats.org/officeDocument/2006/relationships" name="Summary" sheetId="3" state="visible" r:id="rId3"/>
  </sheets>
  <definedNames>
    <definedName name="_xlnm._FilterDatabase" localSheetId="1" hidden="1">'Test cases'!$A$1:$M$45</definedName>
    <definedName name="_xlnm.Print_Titles" localSheetId="1">'Test cases'!$1:$1</definedName>
  </definedNames>
  <calcPr calcId="124519" fullCalcOnLoad="1"/>
</workbook>
</file>

<file path=xl/styles.xml><?xml version="1.0" encoding="utf-8"?>
<styleSheet xmlns="http://schemas.openxmlformats.org/spreadsheetml/2006/main">
  <numFmts count="1">
    <numFmt numFmtId="164" formatCode="yyyy-mm-dd"/>
  </numFmts>
  <fonts count="12">
    <font>
      <name val="Calibri"/>
      <family val="2"/>
      <color theme="1"/>
      <sz val="11"/>
      <scheme val="minor"/>
    </font>
    <font>
      <name val="Arial"/>
      <b val="1"/>
      <color rgb="001F3864"/>
      <sz val="16"/>
    </font>
    <font>
      <name val="Arial"/>
      <color rgb="00595959"/>
      <sz val="11"/>
    </font>
    <font>
      <name val="Arial"/>
      <sz val="10"/>
    </font>
    <font>
      <name val="Arial"/>
      <b val="1"/>
      <color rgb="001F3864"/>
      <sz val="11"/>
    </font>
    <font>
      <name val="Arial"/>
      <b val="1"/>
      <color rgb="00FFFFFF"/>
      <sz val="10"/>
    </font>
    <font>
      <name val="Arial"/>
      <i val="1"/>
      <sz val="10"/>
    </font>
    <font>
      <name val="Arial"/>
      <b val="1"/>
      <sz val="9"/>
    </font>
    <font>
      <name val="Arial"/>
      <sz val="9"/>
    </font>
    <font>
      <name val="Arial"/>
      <b val="1"/>
      <color rgb="001F3864"/>
      <sz val="14"/>
    </font>
    <font>
      <name val="Arial"/>
      <b val="1"/>
      <sz val="10"/>
    </font>
    <font>
      <name val="Arial"/>
      <i val="1"/>
      <color rgb="00595959"/>
      <sz val="9"/>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top" wrapText="1"/>
    </xf>
    <xf numFmtId="0" fontId="6" fillId="3" borderId="1" applyAlignment="1" pivotButton="0" quotePrefix="0" xfId="0">
      <alignment vertical="top" wrapText="1"/>
    </xf>
    <xf numFmtId="0" fontId="5" fillId="2" borderId="1" applyAlignment="1" pivotButton="0" quotePrefix="0" xfId="0">
      <alignment vertical="center" wrapText="1"/>
    </xf>
    <xf numFmtId="0" fontId="7" fillId="0" borderId="1" applyAlignment="1" pivotButton="0" quotePrefix="0" xfId="0">
      <alignment vertical="top" wrapText="1"/>
    </xf>
    <xf numFmtId="0" fontId="8" fillId="0" borderId="1" applyAlignment="1" pivotButton="0" quotePrefix="0" xfId="0">
      <alignment vertical="top" wrapText="1"/>
    </xf>
    <xf numFmtId="0" fontId="8" fillId="3" borderId="1" applyAlignment="1" pivotButton="0" quotePrefix="0" xfId="0">
      <alignment vertical="top" wrapText="1"/>
    </xf>
    <xf numFmtId="164" fontId="8" fillId="3" borderId="1" applyAlignment="1" pivotButton="0" quotePrefix="0" xfId="0">
      <alignment vertical="top" wrapText="1"/>
    </xf>
    <xf numFmtId="0" fontId="9" fillId="0" borderId="0" pivotButton="0" quotePrefix="0" xfId="0"/>
    <xf numFmtId="0" fontId="10" fillId="0" borderId="1" pivotButton="0" quotePrefix="0" xfId="0"/>
    <xf numFmtId="0" fontId="3" fillId="0" borderId="1" pivotButton="0" quotePrefix="0" xfId="0"/>
    <xf numFmtId="0" fontId="3" fillId="0" borderId="0" pivotButton="0" quotePrefix="0" xfId="0"/>
    <xf numFmtId="9" fontId="3" fillId="0" borderId="1"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16" customWidth="1" min="1" max="1"/>
    <col width="14" customWidth="1" min="2" max="2"/>
    <col width="60" customWidth="1" min="3" max="3"/>
    <col width="20" customWidth="1" min="4" max="4"/>
    <col width="14" customWidth="1" min="5" max="5"/>
    <col width="4" customWidth="1" min="6" max="6"/>
  </cols>
  <sheetData>
    <row r="1">
      <c r="A1" s="1" t="inlineStr">
        <is>
          <t>CIQ Digital – user acceptance test cases</t>
        </is>
      </c>
    </row>
    <row r="2">
      <c r="A2" s="2" t="inlineStr">
        <is>
          <t>Internal app (Beiersdorf roles) and Supplier Portal (supplier contacts)</t>
        </is>
      </c>
    </row>
    <row r="3">
      <c r="A3" s="3" t="inlineStr"/>
    </row>
    <row r="4">
      <c r="A4" s="4" t="inlineStr">
        <is>
          <t>What this is</t>
        </is>
      </c>
    </row>
    <row r="5" ht="60" customHeight="1">
      <c r="A5" s="3" t="inlineStr">
        <is>
          <t>Each row on the sheet “Test cases” is one test: who performs it, what must be in place first, the steps, and what you should see. Several tests check both sides: one person acts (for example the supplier answers a question) and another checks the result (the reviewer sees the answer).</t>
        </is>
      </c>
    </row>
    <row r="6">
      <c r="A6" s="3" t="inlineStr"/>
    </row>
    <row r="7">
      <c r="A7" s="4" t="inlineStr">
        <is>
          <t>How to record your results</t>
        </is>
      </c>
    </row>
    <row r="8" ht="45" customHeight="1">
      <c r="A8" s="3" t="inlineStr">
        <is>
          <t>1. Work through the tests in order: later tests build on the cases created in earlier ones. Exception: do TC-01 step 7 and TC-03 steps 8–9 after TC-04, which creates the first case.</t>
        </is>
      </c>
    </row>
    <row r="9" ht="15" customHeight="1">
      <c r="A9" s="3" t="inlineStr">
        <is>
          <t>2. Fill in only the yellow columns: Result, Comments / findings, Tested by and Date tested.</t>
        </is>
      </c>
    </row>
    <row r="10" ht="45" customHeight="1">
      <c r="A10" s="3" t="inlineStr">
        <is>
          <t>3. Result: choose Pass (everything as expected), Fail (something differs from the expected result), Blocked (the test could not be done, e.g. a previous step failed or access is missing) or Not tested.</t>
        </is>
      </c>
    </row>
    <row r="11" ht="30" customHeight="1">
      <c r="A11" s="3" t="inlineStr">
        <is>
          <t>4. Comments / findings: for Fail or Blocked, write what you did, what you saw and what you expected; add the case ID or screenshot name. For Pass, comments are optional.</t>
        </is>
      </c>
    </row>
    <row r="12" ht="15" customHeight="1">
      <c r="A12" s="3" t="inlineStr">
        <is>
          <t>5. The sheet “Summary” counts the results automatically.</t>
        </is>
      </c>
    </row>
    <row r="13">
      <c r="A13" s="3" t="inlineStr"/>
    </row>
    <row r="14">
      <c r="A14" s="4" t="inlineStr">
        <is>
          <t>Who tests</t>
        </is>
      </c>
    </row>
    <row r="15" ht="195" customHeight="1">
      <c r="A15" s="3" t="inlineStr">
        <is>
          <t>Beiersdorf: Raw Material Manager (RMM), the department reviewers (Regulatory Affairs, Product Safety, Quality Management, Microbiology, Sustainability) and the Business administrator, with one test user per role, each holding only that role. Add a second RMM user (TC-42, TC-43) and a second Quality Management user (TC-16). A user who holds several CIQ roles works in only one of them, so give each test user one CIQ role. Supplier side: test supplier A (also usable as supplier X in TC-40) with at least three contacts with Supplier Portal access (at least two may confirm and release, one marked “May not confirm”); supplier Y with one contact with portal access who may confirm and release (TC-40); one inactive test supplier (supplier C in TC-03); and one portal account without the Supplier role (TC-40). Before the tests, Kissflow links each test contact to its Supplier Portal account; this is not done in the CIQ screens. A contact added during the tests (as in TC-01) gets no request until Kissflow has linked it. Link it before a case names it: a case started earlier never reaches that contact. Use test materials and test data only.</t>
        </is>
      </c>
    </row>
    <row r="16">
      <c r="A16" s="3" t="inlineStr"/>
    </row>
    <row r="17">
      <c r="A17" s="4" t="inlineStr">
        <is>
          <t>Not in this version</t>
        </is>
      </c>
    </row>
    <row r="18" ht="105" customHeight="1">
      <c r="A18" s="3" t="inlineStr">
        <is>
          <t>E-mails: this version sends no CIQ e-mails (invitation, question, answer, release, withdrawal, reminders). The only e-mail is the final document to the RMM case owner (TC-33). Kissflow's own task and due-date notifications may arrive; they are not part of the tests. Do not work in the Kissflow task form such a notification links to: always work in the CIQ Digital app or the Supplier Portal. Some windows and pages still say that someone gets an e-mail or a notice (for example in TC-04, TC-18, TC-24, TC-34 and TC-37). That e-mail is not sent in this version, so do not record it as a Fail. The one e-mail to check is the final document in TC-33 step 6.</t>
        </is>
      </c>
    </row>
    <row r="19" ht="100" customHeight="1">
      <c r="A19" s="3" t="inlineStr">
        <is>
          <t>Also not in this version: adding a section to the scope (TC-23) and reactivating a cancelled case (TC-38): these tests check only the window, and the app then shows a warning that the action “is not available in this version yet”. A completed department review does not reopen by itself when the supplier changes data (TC-17); only the RMM can reopen a review, its own (TC-34). The Supplier Portal shows no “access ended” message for a deactivated contact (TC-40). A completed review's note that it “reopens automatically” is not true in this version either.</t>
        </is>
      </c>
    </row>
    <row r="20">
      <c r="A20" s="3" t="n"/>
    </row>
    <row r="21">
      <c r="A21" s="4" t="inlineStr">
        <is>
          <t>Example of a filled-in row (format only)</t>
        </is>
      </c>
    </row>
    <row r="22">
      <c r="A22" s="5" t="inlineStr">
        <is>
          <t>Test case ID</t>
        </is>
      </c>
      <c r="B22" s="5" t="inlineStr">
        <is>
          <t>Result</t>
        </is>
      </c>
      <c r="C22" s="5" t="inlineStr">
        <is>
          <t>Comments / findings</t>
        </is>
      </c>
      <c r="D22" s="5" t="inlineStr">
        <is>
          <t>Tested by</t>
        </is>
      </c>
      <c r="E22" s="5" t="inlineStr">
        <is>
          <t>Date tested</t>
        </is>
      </c>
    </row>
    <row r="23" ht="45" customHeight="1">
      <c r="A23" s="6" t="inlineStr">
        <is>
          <t>TC-04</t>
        </is>
      </c>
      <c r="B23" s="6" t="inlineStr">
        <is>
          <t>Fail</t>
        </is>
      </c>
      <c r="C23" s="6" t="inlineStr">
        <is>
          <t>Step 7: the request showed the trade name, but the due date was 30 days instead of 60. Screenshot TC-04-a.</t>
        </is>
      </c>
      <c r="D23" s="6" t="inlineStr">
        <is>
          <t>A. Example (RMM)</t>
        </is>
      </c>
      <c r="E23" s="6" t="inlineStr">
        <is>
          <t>2026-10-23</t>
        </is>
      </c>
    </row>
  </sheetData>
  <mergeCells count="21">
    <mergeCell ref="A16:F16"/>
    <mergeCell ref="A12:F12"/>
    <mergeCell ref="A18:F18"/>
    <mergeCell ref="A3:F3"/>
    <mergeCell ref="A21:F21"/>
    <mergeCell ref="A2:F2"/>
    <mergeCell ref="A14:F14"/>
    <mergeCell ref="A5:F5"/>
    <mergeCell ref="A8:F8"/>
    <mergeCell ref="A17:F17"/>
    <mergeCell ref="A4:F4"/>
    <mergeCell ref="A20:F20"/>
    <mergeCell ref="A10:F10"/>
    <mergeCell ref="A13:F13"/>
    <mergeCell ref="A19:F19"/>
    <mergeCell ref="A9:F9"/>
    <mergeCell ref="A15:F15"/>
    <mergeCell ref="A11:F11"/>
    <mergeCell ref="A1:F1"/>
    <mergeCell ref="A6:F6"/>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M4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8" customWidth="1" min="2" max="2"/>
    <col width="22" customWidth="1" min="3" max="3"/>
    <col width="30" customWidth="1" min="4" max="4"/>
    <col width="30" customWidth="1" min="5" max="5"/>
    <col width="60" customWidth="1" min="6" max="6"/>
    <col width="60" customWidth="1" min="7" max="7"/>
    <col width="14" customWidth="1" min="8" max="8"/>
    <col width="9" customWidth="1" min="9" max="9"/>
    <col width="11" customWidth="1" min="10" max="10"/>
    <col width="40" customWidth="1" min="11" max="11"/>
    <col width="16" customWidth="1" min="12" max="12"/>
    <col width="12" customWidth="1" min="13" max="13"/>
  </cols>
  <sheetData>
    <row r="1" ht="30" customHeight="1">
      <c r="A1" s="7" t="inlineStr">
        <is>
          <t>ID</t>
        </is>
      </c>
      <c r="B1" s="7" t="inlineStr">
        <is>
          <t>Area</t>
        </is>
      </c>
      <c r="C1" s="7" t="inlineStr">
        <is>
          <t>Who tests</t>
        </is>
      </c>
      <c r="D1" s="7" t="inlineStr">
        <is>
          <t>Test case</t>
        </is>
      </c>
      <c r="E1" s="7" t="inlineStr">
        <is>
          <t>Before you start</t>
        </is>
      </c>
      <c r="F1" s="7" t="inlineStr">
        <is>
          <t>Steps</t>
        </is>
      </c>
      <c r="G1" s="7" t="inlineStr">
        <is>
          <t>Expected result</t>
        </is>
      </c>
      <c r="H1" s="7" t="inlineStr">
        <is>
          <t>Requirement</t>
        </is>
      </c>
      <c r="I1" s="7" t="inlineStr">
        <is>
          <t>Priority</t>
        </is>
      </c>
      <c r="J1" s="7" t="inlineStr">
        <is>
          <t>Result</t>
        </is>
      </c>
      <c r="K1" s="7" t="inlineStr">
        <is>
          <t>Comments / findings</t>
        </is>
      </c>
      <c r="L1" s="7" t="inlineStr">
        <is>
          <t>Tested by</t>
        </is>
      </c>
      <c r="M1" s="7" t="inlineStr">
        <is>
          <t>Date tested</t>
        </is>
      </c>
    </row>
    <row r="2" ht="225" customHeight="1">
      <c r="A2" s="8" t="inlineStr">
        <is>
          <t>TC-01</t>
        </is>
      </c>
      <c r="B2" s="9" t="inlineStr">
        <is>
          <t>Setup – supplier master data</t>
        </is>
      </c>
      <c r="C2" s="9" t="inlineStr">
        <is>
          <t>Business administrator; Raw Material Manager (RMM) to check</t>
        </is>
      </c>
      <c r="D2" s="8" t="inlineStr">
        <is>
          <t>Maintain suppliers and contacts; RMM uses them read-only</t>
        </is>
      </c>
      <c r="E2" s="9" t="inlineStr">
        <is>
          <t>A Business administrator user and an RMM user. For step 7, the case from TC-04 must exist.</t>
        </is>
      </c>
      <c r="F2" s="9" t="inlineStr">
        <is>
          <t>1. As the Business administrator, open Suppliers and click “Add supplier”. In the window, click “Add supplier” without entering anything.
2. Enter Legal name, an 8-digit DUNS number, Type, Country, City and one contact (name, e-mail, job title, “May confirm and release” ticked). Save.
3. Correct the DUNS number to 9 digits, add a second contact with “Add another contact”, and save.
4. On the new supplier's page, click “Add contact” and enter an e-mail that another contact already uses.
5. Edit the second contact, then click “Deactivate” on it.
6. Try to deactivate the first contact, which is now the last active one. Then click “Reactivate” on the second contact.
7. (Do this after TC-04.) Open the supplier that has an open case and click “Deactivate supplier”.
8. As RMM, open Suppliers and the new supplier. Then click “New case” and search for the supplier by its DUNS number.</t>
        </is>
      </c>
      <c r="G2" s="9" t="inlineStr">
        <is>
          <t>- Step 1: “Fix N items first:” lists every missing item (name, DUNS number, country, contact). Nothing is saved.
- Step 2: “The DUNS number has exactly 9 digits.” Nothing is saved.
- Step 3: the supplier page opens as Active with both contacts. Source reads “Added in the app by &lt;name&gt; on &lt;date&gt;”. The history shows the addition.
- Step 4: “This e-mail is already used by &lt;name&gt; (&lt;supplier&gt;).”
- Step 5: the change is saved and shown in the history. The contact shows “Inactive since &lt;date&gt;”; it is never deleted.
- Step 6: “&lt;name&gt; is the last active contact of this supplier. Add another contact first.” Reactivate makes the second contact active again.
- Step 7: refused. The page names the open case and asks to cancel or complete it first.
- Step 8: RMM sees the list and the page with “Maintained by the business administrator.” and no Add, Edit or Deactivate. In New case the supplier can be chosen, with its active contacts only.</t>
        </is>
      </c>
      <c r="H2" s="9" t="inlineStr">
        <is>
          <t>REQ-PROC-001, REQ-CFG-004</t>
        </is>
      </c>
      <c r="I2" s="9" t="inlineStr">
        <is>
          <t>High</t>
        </is>
      </c>
      <c r="J2" s="10" t="inlineStr"/>
      <c r="K2" s="10" t="inlineStr"/>
      <c r="L2" s="10" t="inlineStr"/>
      <c r="M2" s="11" t="inlineStr"/>
    </row>
    <row r="3" ht="200" customHeight="1">
      <c r="A3" s="8" t="inlineStr">
        <is>
          <t>TC-02</t>
        </is>
      </c>
      <c r="B3" s="9" t="inlineStr">
        <is>
          <t>Setup – sign-in and menus</t>
        </is>
      </c>
      <c r="C3" s="9" t="inlineStr">
        <is>
          <t>Raw Material Manager (RMM); department reviewers (Regulatory Affairs, Product Safety, Quality Management, Microbiology, Sustainability); Business administrator</t>
        </is>
      </c>
      <c r="D3" s="8" t="inlineStr">
        <is>
          <t>Each Beiersdorf role opens on its own start page and sees only its own menu</t>
        </is>
      </c>
      <c r="E3" s="9" t="inlineStr">
        <is>
          <t>One test user per role, each holding only that role.</t>
        </is>
      </c>
      <c r="F3" s="9" t="inlineStr">
        <is>
          <t>1. Sign in as RMM and open the CIQ Digital app. Check the left menu.
2. Collapse the left menu, expand it again, and click Reload at its bottom.
3. Sign in as each of the five department reviewers in turn and open the app.
4. As a department reviewer, check that the menu has no Suppliers, Rules or Dashboard entry.
5. Sign in as the Business administrator and open the app.</t>
        </is>
      </c>
      <c r="G3" s="9" t="inlineStr">
        <is>
          <t>- RMM opens on the Dashboard. The menu is headed “Raw Material Manager (RMM)” and shows only Dashboard, My reviews, Cases and Suppliers. If no case exists yet, the Dashboard shows only “Start your first CIQ case” with “New case” and “Suppliers (n)”.
- The bottom of the menu shows “Updated hh:mm”, Reload and the night-mode switch. The menu collapses to icons and expands again; Reload updates the time.
- Each reviewer opens on “My reviews” with the department name above the title (e.g. “Product Safety”). The menu shows only My reviews and Cases. Without a task the page shows “No review tasks yet”.
- Only the Safety and Regulatory page subtitles mention their internal decision and the RMES tab (“The RMES tab shows the material's evaluation sheet, filled automatically from the CIQ.”).
- The Business administrator opens on Rules. The menu shows Rules, Questionnaire, Section owners and Suppliers; there is no Dashboard, My reviews or New case.</t>
        </is>
      </c>
      <c r="H3" s="9" t="inlineStr">
        <is>
          <t>REQ-CFG-004, REQ-CTL-002, REQ-CTL-006</t>
        </is>
      </c>
      <c r="I3" s="9" t="inlineStr">
        <is>
          <t>High</t>
        </is>
      </c>
      <c r="J3" s="10" t="inlineStr"/>
      <c r="K3" s="10" t="inlineStr"/>
      <c r="L3" s="10" t="inlineStr"/>
      <c r="M3" s="11" t="inlineStr"/>
    </row>
    <row r="4" ht="237.5" customHeight="1">
      <c r="A4" s="8" t="inlineStr">
        <is>
          <t>TC-03</t>
        </is>
      </c>
      <c r="B4" s="9" t="inlineStr">
        <is>
          <t>Case start</t>
        </is>
      </c>
      <c r="C4" s="9" t="inlineStr">
        <is>
          <t>Raw Material Manager (RMM)</t>
        </is>
      </c>
      <c r="D4" s="8" t="inlineStr">
        <is>
          <t>New case: required data, contact rules and duplicate warning</t>
        </is>
      </c>
      <c r="E4" s="9" t="inlineStr">
        <is>
          <t>In the supplier master: supplier A with three active contacts, one of them marked “May not confirm”; supplier C inactive. For steps 8–9, do them after TC-04 (an open case for supplier A with a known BDF material no.).</t>
        </is>
      </c>
      <c r="F4" s="9" t="inlineStr">
        <is>
          <t>1. On the Dashboard, click “New case”.
2. Without entering anything, click “Create case and invite supplier”.
3. Look for supplier C in the supplier list.
4. Select supplier A. Try to tick a third case contact.
5. Untick all contacts.
6. Tick only the contact marked “May not confirm”.
7. Untick every target market.
8. (Do steps 8–9 after TC-04.) In New case, select supplier A and enter the BDF material no. of its open case.
9. Click “Create case and invite supplier” without filling in “Why is a second case needed?”.</t>
        </is>
      </c>
      <c r="G4" s="9" t="inlineStr">
        <is>
          <t>- Step 2: a red box “Complete N items before creating the case:” lists every missing item at once: “Enter the trade name.”, “Enter the main INCI.”, “Enter the BDF material number.” and “Choose the supplier.”. No case is created.
- Step 3: supplier C is not listed.
- Step 4: the first two active contacts are ticked automatically. The third shows “a case has at most two contacts” and cannot be ticked.
- Step 5: “Choose one or two case contacts.”
- Step 6: “None of the chosen contacts may confirm completeness or give the final release. Add one who may.”
- Step 7: “Choose at least one target market.”
- Step 8: a warning says a case is already open for supplier A and this BDF material no., with a link to it. “Why is a second case needed?” becomes required.
- Step 9: “Say why a second case is needed for this material.” No case is created.
- RMM cannot add a supplier or contact here: “Supplier not in the list? Ask the business administrator to add it in Suppliers.”</t>
        </is>
      </c>
      <c r="H4" s="9" t="inlineStr">
        <is>
          <t>REQ-PROC-001</t>
        </is>
      </c>
      <c r="I4" s="9" t="inlineStr">
        <is>
          <t>High</t>
        </is>
      </c>
      <c r="J4" s="10" t="inlineStr"/>
      <c r="K4" s="10" t="inlineStr"/>
      <c r="L4" s="10" t="inlineStr"/>
      <c r="M4" s="11" t="inlineStr"/>
    </row>
    <row r="5" ht="212.5" customHeight="1">
      <c r="A5" s="8" t="inlineStr">
        <is>
          <t>TC-04</t>
        </is>
      </c>
      <c r="B5" s="9" t="inlineStr">
        <is>
          <t>Case start</t>
        </is>
      </c>
      <c r="C5" s="9" t="inlineStr">
        <is>
          <t>Raw Material Manager (RMM); Supplier contact (to check)</t>
        </is>
      </c>
      <c r="D5" s="8" t="inlineStr">
        <is>
          <t>Start a case and invite the supplier contacts</t>
        </is>
      </c>
      <c r="E5" s="9" t="inlineStr">
        <is>
          <t>Test supplier A is active with at least three active contacts; at least two may confirm. The contacts have Supplier Portal accounts.</t>
        </is>
      </c>
      <c r="F5" s="9" t="inlineStr">
        <is>
          <t>1. Click “New case”. Enter Trade name, Main INCI and BDF material no. Leave Case owner as yourself.
2. Search supplier A in “Find by supplier, DUNS, country, city or contact…” and select its card.
3. Under “Case contacts”, keep or tick two contacts.
4. Under Target markets, select European Union and United Kingdom. Read the line below the markets.
5. Keep the due date (60 days from today) and Priority “Normal”. Note the questionnaire and rule set shown under “What happens next”.
6. Click “Create case and invite supplier”.
7. As one of the two named contacts, sign in to the Supplier Portal and open My requests.
8. As supplier A's third contact (not named on the case), open My requests.</t>
        </is>
      </c>
      <c r="G5" s="9" t="inlineStr">
        <is>
          <t>- Step 4: “These markets add:” names the UK chapter and annex (K6.2 UK REACH, A11 UK REACH (per substance)).
- Step 6: the button shows “Sending…”, then the new case page opens with its case ID.
- The header shows the trade name, the phase “Supplier filling in the CIQ” and “With supplier”, plus INCI, BDF material no., the supplier with its DUNS number, the owner and the due date.
- Overview &gt; Case facts shows the same questionnaire and rule-set versions as New case. “Supplier contacts” lists exactly the two chosen contacts.
- History records the creation with your name and the time. Cases lists the case under Open and Part 1.
- Step 7: the named contact sees the request under “Needs your action”. Trade name, supplier, DUNS number and contact e-mails are pre-filled and locked; the target markets are shown read-only.
- Step 8: the contact who is not named does not see the request.</t>
        </is>
      </c>
      <c r="H5" s="9" t="inlineStr">
        <is>
          <t>REQ-PROC-001, REQ-PROC-004, REQ-CFG-001, REQ-CFG-003, REQ-CTL-001, REQ-CTL-003</t>
        </is>
      </c>
      <c r="I5" s="9" t="inlineStr">
        <is>
          <t>High</t>
        </is>
      </c>
      <c r="J5" s="10" t="inlineStr"/>
      <c r="K5" s="10" t="inlineStr"/>
      <c r="L5" s="10" t="inlineStr"/>
      <c r="M5" s="11" t="inlineStr"/>
    </row>
    <row r="6" ht="237.5" customHeight="1">
      <c r="A6" s="8" t="inlineStr">
        <is>
          <t>TC-05</t>
        </is>
      </c>
      <c r="B6" s="9" t="inlineStr">
        <is>
          <t>Case start – supplier sign-in</t>
        </is>
      </c>
      <c r="C6" s="9" t="inlineStr">
        <is>
          <t>Supplier contact</t>
        </is>
      </c>
      <c r="D6" s="8" t="inlineStr">
        <is>
          <t>Sign in and see My requests and Help</t>
        </is>
      </c>
      <c r="E6" s="9" t="inlineStr">
        <is>
          <t>The case from TC-04 names supplier contact A, who has a Supplier Portal account and has not worked in the portal before.</t>
        </is>
      </c>
      <c r="F6" s="9" t="inlineStr">
        <is>
          <t>1. Sign in to the Supplier Portal as contact A.
2. Read the start page “My requests”.
3. Check the left menu; collapse and expand it.
4. Click “How the portal works”.
5. Click “My requests” in the left menu.</t>
        </is>
      </c>
      <c r="G6" s="9" t="inlineStr">
        <is>
          <t>- The portal opens on “My requests”, with the company name above “Welcome, &lt;first name&gt;”. No Beiersdorf-internal screen or menu item is shown.
- “Your tasks (1)” lists “Fill in the CIQ and confirm completeness” with the material, the reference, “Questionnaire · start with the metadata questions (0 of 8 answered)”, the due date and “Start”.
- Under “Needs your action”, the card shows the material name, INCI, “Beiersdorf ref.”, “Material no.”, “Fill in the questionnaire — 0 %”, “Step 1 of 3 · metadata questions: 0 of 8 answered”, “Due &lt;date&gt;” and “Start the questionnaire”.
- Left menu: “My requests” with the open-task count, and “Help”. At the bottom: “Updated &lt;time&gt;”, Reload and the night-mode switch.
- Help shows “How it works” in three steps (Fill in the questionnaire, Answer Beiersdorf's questions, Give the final release), the FAQs and “Your Beiersdorf contacts” with the RMM of each open request.
- An earlier released request of the same supplier, if any, is under “Closed” with “Completed”, “Released &lt;date&gt;” and “View”.</t>
        </is>
      </c>
      <c r="H6" s="9" t="inlineStr">
        <is>
          <t>REQ-PROC-004, REQ-PROC-030, REQ-CTL-003, REQ-CTL-006, REQ-CTL-010</t>
        </is>
      </c>
      <c r="I6" s="9" t="inlineStr">
        <is>
          <t>High</t>
        </is>
      </c>
      <c r="J6" s="10" t="inlineStr"/>
      <c r="K6" s="10" t="inlineStr"/>
      <c r="L6" s="10" t="inlineStr"/>
      <c r="M6" s="11" t="inlineStr"/>
    </row>
    <row r="7" ht="275" customHeight="1">
      <c r="A7" s="8" t="inlineStr">
        <is>
          <t>TC-06</t>
        </is>
      </c>
      <c r="B7" s="9" t="inlineStr">
        <is>
          <t>Supplier fills in – request page</t>
        </is>
      </c>
      <c r="C7" s="9" t="inlineStr">
        <is>
          <t>Supplier contact</t>
        </is>
      </c>
      <c r="D7" s="8" t="inlineStr">
        <is>
          <t>Open a request and see its header, steps and sections</t>
        </is>
      </c>
      <c r="E7" s="9" t="inlineStr">
        <is>
          <t>Contact A is named on a new request (TC-04) that has not been started. Target markets: European Union and United Kingdom.</t>
        </is>
      </c>
      <c r="F7" s="9" t="inlineStr">
        <is>
          <t>1. On My requests, click “Start the questionnaire” on the request card.
2. Read the header, the step bar and the completeness bar.
3. Read the section navigator on the left.
4. Open “General information”.
5. Repeat on a phone-sized screen and open the section selector.</t>
        </is>
      </c>
      <c r="G7" s="9" t="inlineStr">
        <is>
          <t>- The header shows the material name, INCI, “Beiersdorf ref.”, “Material no.”, “Your Beiersdorf contact: &lt;RMM name&gt; · &lt;e-mail&gt;”, “Fill in the questionnaire — 0 %” and “Due &lt;date&gt; · in N days”. A “My requests” link leads back.
- The step bar reads Questionnaire (current) · Beiersdorf review · Final release.
- The completeness bar shows “0 % complete · 0 of N required answers”, “Every answer is saved automatically.”, the colleagues named on the request, and the buttons “Check completeness” and “Confirm completeness”.
- The navigator says “&lt;N&gt; sections apply to this material”, grouped into General (General information, Metadata questions), Chapters and Annexes. Each entry shows Mandatory, Optional or Documents only and its progress.
- Only sections that apply are listed: with the UK market, K6.2 UK REACH and A11 UK REACH (per substance) are present; Turkey REACH is not.
- The page opens at the first section with something missing.
- In General information, trade name, supplier name, DUNS number and contact e-mails are locked and marked “Pre-filled by Beiersdorf”. Manufacturer and production site can be edited.
- On a phone, a “Section” selector is grouped the same way. There is no sideways scrolling.</t>
        </is>
      </c>
      <c r="H7" s="9" t="inlineStr">
        <is>
          <t>REQ-PROC-004, REQ-PROC-009, REQ-PROC-010, REQ-CTL-006</t>
        </is>
      </c>
      <c r="I7" s="9" t="inlineStr">
        <is>
          <t>High</t>
        </is>
      </c>
      <c r="J7" s="10" t="inlineStr"/>
      <c r="K7" s="10" t="inlineStr"/>
      <c r="L7" s="10" t="inlineStr"/>
      <c r="M7" s="11" t="inlineStr"/>
    </row>
    <row r="8" ht="312.5" customHeight="1">
      <c r="A8" s="8" t="inlineStr">
        <is>
          <t>TC-07</t>
        </is>
      </c>
      <c r="B8" s="9" t="inlineStr">
        <is>
          <t>Supplier fills in – metadata and scope</t>
        </is>
      </c>
      <c r="C8" s="9" t="inlineStr">
        <is>
          <t>Supplier contact; Raw Material Manager (RMM) to check</t>
        </is>
      </c>
      <c r="D8" s="8" t="inlineStr">
        <is>
          <t>Metadata answers open and close sections live</t>
        </is>
      </c>
      <c r="E8" s="9" t="inlineStr">
        <is>
          <t>Request in “Fill in the questionnaire”, no metadata question answered yet. Target market: European Union only.</t>
        </is>
      </c>
      <c r="F8" s="9" t="inlineStr">
        <is>
          <t>1. In the navigator, open “Metadata questions”. Read the questions and the panel “What your answers switch on”.
2. For “What is the origin of the components?”, select “Vegetable (bio mass)”.
3. Click A1 Vegetable origin in the note under the question, enter one answer there, and go back.
4. Deselect “Vegetable (bio mass)”, then select it again and open A1.
5. Answer “Is the material a UV filter?” with Yes.
6. Answer “Is microbiological testing of the raw material required?” with No.
7. Also select “Waste / side stream” as an origin.
8. Answer the remaining required questions.
9. As RMM, open the case, click Reload, and check Overview &gt; Scope and the Questionnaire tab.</t>
        </is>
      </c>
      <c r="G8" s="9" t="inlineStr">
        <is>
          <t>- 9 numbered questions, 8 of them required (marked *). “Target markets set by Beiersdorf” is read-only. The header reads “0 of 8 answered”.
- Step 2: “Opened: A1 Vegetable origin, A2 Manufacturing process, A9 Polyaromatic hydrocarbons (PAH).” The three sections appear at once in the navigator, marked “New” until opened. K1 now asks for “Sustainability certificates” (“Asked because the origin includes Vegetable.”) and K2.3 shows “Part(s) used” and “Country of origin”. (K2.3 asks for “Feedstock (e.g. sunflower, palm, soy)”, “Content [%] in INCI” and “Content [%] in raw material” on every case, whatever the origin.) The panel lists the added annexes with “Because: …” and the evidence that will be asked for.
- Step 3: A1 starts with “Country of origin”, locked: “Filled in from Country of origin (K2.3). Change it there.”
- Step 4: “Closed: … Your answers there are kept and come back if the section reopens.” After reselecting, the A1 answer is back.
- Step 5: “Opened: A5 UV filters.”
- Step 6: “K5.1 Microbiological test is now waived. Give the reason in the box under this question.” A justification box appears; K5.1 shows “Waived · justification needed”; K5.2 stays mandatory.
- Step 7: “There are no specific rules yet for waste, CCU or chemically recycled origins. You get the standard sections; Beiersdorf may ask for more.” The supplier does not have to wait for Beiersdorf. Each selected origin must be used by at least one component in K2.1: until a component has “Waste / side stream”, the completeness check lists “You selected the origin “Waste / side stream”, but no component has it. Add the component or remove the origin.”
- Step 8: the header shows “All answered”; the section count and the completeness % update. No rule numbers are shown.
- Step 9: RMM sees the same sections and “Required metadata questions answered: 8 of 8”. The Scope card “Follows the supplier's metadata answers until completeness”.</t>
        </is>
      </c>
      <c r="H8" s="9" t="inlineStr">
        <is>
          <t>REQ-PROC-007, REQ-PROC-009, REQ-PROC-010, REQ-CFG-003, REQ-CFG-008, REQ-CFG-009</t>
        </is>
      </c>
      <c r="I8" s="9" t="inlineStr">
        <is>
          <t>High</t>
        </is>
      </c>
      <c r="J8" s="10" t="inlineStr"/>
      <c r="K8" s="10" t="inlineStr"/>
      <c r="L8" s="10" t="inlineStr"/>
      <c r="M8" s="11" t="inlineStr"/>
    </row>
    <row r="9" ht="250" customHeight="1">
      <c r="A9" s="8" t="inlineStr">
        <is>
          <t>TC-08</t>
        </is>
      </c>
      <c r="B9" s="9" t="inlineStr">
        <is>
          <t>Supplier fills in – answers</t>
        </is>
      </c>
      <c r="C9" s="9" t="inlineStr">
        <is>
          <t>Supplier contact; Raw Material Manager (RMM) to check</t>
        </is>
      </c>
      <c r="D9" s="8" t="inlineStr">
        <is>
          <t>Fill in sections: answer types, checks and “cannot provide” justifications</t>
        </is>
      </c>
      <c r="E9" s="9" t="inlineStr">
        <is>
          <t>Request in “Fill in the questionnaire”. Metadata questions answered with origin Vegetable.</t>
        </is>
      </c>
      <c r="F9" s="9" t="inlineStr">
        <is>
          <t>1. In General information, fill “Manufacturer (name and address)” and “Production site (name and address)”, then click outside the field.
2. Try to change “Trade name of the raw material”.
3. In K2.2 Byproducts and contaminations, type “abc” in “Arsenic (As) content”, then 0.8.
4. Click “Write the justification” and fill “Justification for values above the BDF limit”.
5. In A1, answer “Pesticides analysis available?” with Yes, then with No.
6. At a mandatory question you cannot answer, click “Cannot provide? Add a justification”, write a reason and click outside.
7. Click “Remove justification”, then add the justification again.
8. Complete one section, then use “Next: …” at the bottom.
9. As RMM, open the case's Questionnaire tab.</t>
        </is>
      </c>
      <c r="G9" s="9" t="inlineStr">
        <is>
          <t>- Each answer is saved when you leave the field; below it “Answered by &lt;name&gt; (you) · &lt;date, time&gt;”.
- Step 2: the field is locked; it is set by Beiersdorf.
- Step 3: “abc” gives “Please enter a number”. 0.8 gives “Above the BDF limit of 0.5 mg/kg. …” pointing to the justification at the end of the section, which stays highlighted until it is filled.
- Step 5: Yes shows “Pesticides analysis (PDF)”; No shows “Reason the pesticides analysis is not available” instead. This question offers no “Cannot provide? Add a justification”, and neither do “Is palm (kernel) oil used as feedstock?” (A1) and “Kinematic viscosity at 100 °C: availability” (A4).
- Step 6: the box “Why can't you provide this?” says “A justification counts as answered for the completeness check. Beiersdorf decides whether it is acceptable.” The item shows “Justified” with your name and time and no longer counts as missing.
- Step 7: after removing the justification the item is missing again.
- Step 8: the section header changes from “x of y answered” to “Complete”; the navigator shows a check and the overall % rises. “Next: &lt;code&gt; · &lt;title&gt;” opens the next section that applies.
- Step 9: RMM sees each answer and justification with who gave it and when, and cannot change any of them.</t>
        </is>
      </c>
      <c r="H9" s="9" t="inlineStr">
        <is>
          <t>REQ-CFG-002, REQ-PROC-006, REQ-PROC-012, REQ-CTL-001</t>
        </is>
      </c>
      <c r="I9" s="9" t="inlineStr">
        <is>
          <t>High</t>
        </is>
      </c>
      <c r="J9" s="10" t="inlineStr"/>
      <c r="K9" s="10" t="inlineStr"/>
      <c r="L9" s="10" t="inlineStr"/>
      <c r="M9" s="11" t="inlineStr"/>
    </row>
    <row r="10" ht="337.5" customHeight="1">
      <c r="A10" s="8" t="inlineStr">
        <is>
          <t>TC-09</t>
        </is>
      </c>
      <c r="B10" s="9" t="inlineStr">
        <is>
          <t>Supplier fills in – composition</t>
        </is>
      </c>
      <c r="C10" s="9" t="inlineStr">
        <is>
          <t>Supplier contact; Raw Material Manager (RMM) to check</t>
        </is>
      </c>
      <c r="D10" s="8" t="inlineStr">
        <is>
          <t>Enter the composition in K2.1 Components and additives</t>
        </is>
      </c>
      <c r="E10" s="9" t="inlineStr">
        <is>
          <t>Request in “Fill in the questionnaire”. Origins answered: Vegetable (bio mass) and Petrochemical / fossil.</t>
        </is>
      </c>
      <c r="F10" s="9" t="inlineStr">
        <is>
          <t>1. Open K2.1 Components and additives and click “Add component”.
2. Fill “INCI (European) / IUPAC” and “Function”, answer “Additive?” with No, and open the “Origin” list. Keep “Vegetable (bio mass)”.
3. Enter CAS number 59-02-8, then 59-02-9. Enter EC number 200-412-3, then 200-412-2, then replace it with the REACH registration number 01-2119457892-27-0000.
4. Enter the concentration as 60 – 40 % and click outside the field, then enter 40 – 60 %.
5. Add a second component: choose Origin “Petrochemical / fossil”, fill INCI and Function, answer “Additive?” with Yes and enter 0.1 – 0.5 %.
6. Add a third component. Click into its “INCI (European) / IUPAC” field, leave everything empty and click elsewhere. Click “Check completeness”. Then remove the third component with its bin icon.
7. In Metadata questions, deselect “Petrochemical / fossil”. Go back to K2.1 and click “Check completeness”. Then select “Petrochemical / fossil” again.
8. Enter “Natural origin index” 1.5, then 0.853, then 0.85.
9. Reload the page.
10. As RMM, open K2.1 on the case's Questionnaire tab.</t>
        </is>
      </c>
      <c r="G10" s="9" t="inlineStr">
        <is>
          <t>- “Composition*” reads “One row per component. Each component's origin must be one you selected in the metadata questions, and each selected origin must be used by a component.” Before the first row: “No components yet. Add every component of the raw material, including additives such as antioxidants.”
- Each “Component n” has “Additive?*” with Yes and No (neither preselected), “INCI (European) / IUPAC*” with the note “The INCI name. If there is none: the chemical name (IUPAC). For colorants, also the Colour Index number.”, “CAS number”, “EC number (EINECS/ELINCS/NLP) or REACH registration no.”, “Function*”, “Origin*” and “Concentration in the raw material*” (min – max %).
- The Origin list offers only Vegetable (bio mass) and Petrochemical / fossil.
- Step 3: at once, 59-02-8 gives “The CAS check digit does not match. Please check for a typo” and 200-412-3 gives “The EC check digit does not match. Please check for a typo”. The valid numbers are accepted, and so is the REACH registration number in the EC field.
- Step 4: 60 – 40 gives “The minimum is higher than the maximum”. Values outside 0–100 give “Concentrations must be between 0 and 100 %”.
- “Total: min x % · max y %” is shown. When the maximums add up to less than 100 %: “The maximum concentrations add up to y %, less than 100 %. Is a component missing? This is a hint only and does not block your submission.”
- Step 6: the empty component shows “Required” under INCI (European) / IUPAC, Function and Additive?, and “Enter a minimum and a maximum concentration”. The completeness check lists “Component 3: INCI (European) / IUPAC is missing”, “Component 3: Function is missing”, “Component 3: Additive: answer Yes or No” and “Component 3: Enter a minimum and a maximum concentration”; each item jumps to the component. A wrong CAS or EC number is listed the same way. After the removal the row disappears; the “&lt;n&gt; components” badge and “Last changed by &lt;name&gt; · &lt;time&gt;” update.
- Step 7: component 2 shows “Not one of the origins you selected in the metadata questions” under Origin, and the completeness check lists “Component 2: its origin “Petrochemical / fossil” is not one of the origins you selected in the metadata questions”. After selecting the origin again, both are gone. (TC-07 checks the other direction: a selected origin that no component has.)
- Step 8: 1.5 gives “Must be between 0 and 1”; 0.853 gives “Max. 2 decimals”; 0.85 is accepted.
- Step 9: all rows and values come back in the same order.
- Step 10: RMM sees the same rows read-only (#, INCI / IUPAC, CAS, EC / REACH no., Function, Origin, Additive, Concentration). An unanswered Additive shows “—”.
- Later, a component Beiersdorf has asked about shows “Asked about” instead of the bin and cannot be removed.</t>
        </is>
      </c>
      <c r="H10" s="9" t="inlineStr">
        <is>
          <t>REQ-CFG-002, REQ-PROC-006</t>
        </is>
      </c>
      <c r="I10" s="9" t="inlineStr">
        <is>
          <t>High</t>
        </is>
      </c>
      <c r="J10" s="10" t="inlineStr"/>
      <c r="K10" s="10" t="inlineStr"/>
      <c r="L10" s="10" t="inlineStr"/>
      <c r="M10" s="11" t="inlineStr"/>
    </row>
    <row r="11" ht="262.5" customHeight="1">
      <c r="A11" s="8" t="inlineStr">
        <is>
          <t>TC-10</t>
        </is>
      </c>
      <c r="B11" s="9" t="inlineStr">
        <is>
          <t>Supplier fills in – documents</t>
        </is>
      </c>
      <c r="C11" s="9" t="inlineStr">
        <is>
          <t>Supplier contacts A and B; Raw Material Manager (RMM) to check</t>
        </is>
      </c>
      <c r="D11" s="8" t="inlineStr">
        <is>
          <t>Upload documents at the question; remove an own file</t>
        </is>
      </c>
      <c r="E11" s="9" t="inlineStr">
        <is>
          <t>Request in “Fill in the questionnaire”. Contacts A and B are named. Origin Vegetable answered.</t>
        </is>
      </c>
      <c r="F11" s="9" t="inlineStr">
        <is>
          <t>1. As A, in K1 Mandatory documents, drop or choose a PDF at “Safety data sheet (SDS)”. Click “Preview”.
2. Upload a second file at the same question.
3. In “Requested documents” at the end of the section, upload a file to one row.
4. Open a chapter answered with documents only (e.g. K3 Storage conditions and handling) and upload a statement.
5. On a file A uploaded, click “Remove”, then “No”. Click “Remove” again, then “Yes, remove”.
6. As B, look at A's files.
7. As RMM, open the case's Documents tab.</t>
        </is>
      </c>
      <c r="G11" s="9" t="inlineStr">
        <is>
          <t>- Step 1: the toast “&lt;file&gt; uploaded.” The file shows its name and “uploaded &lt;date, time&gt; · by &lt;name&gt; (you) · &lt;size&gt; KB”, and the question counts as answered. “Preview” opens the file.
- Step 2: the second file is listed next to the first with today's date: “A new file is added next to the earlier ones, with today's date. Earlier files stay listed.” Nothing is overwritten.
- Step 3: the row says in plain words why Beiersdorf needs the document and shows “Uploaded” afterwards. A row without a file offers “Cannot provide? Add a justification”.
- Step 4: “This chapter is answered with documents …” and “It does not block your completeness confirmation.” Toast “&lt;file&gt; added to K3.”
- Step 5: “No” keeps the file. “Yes, remove” shows “Removing…”, then “File removed from the questionnaire.” If it was the only file, the question counts as missing again.
- Step 6: B has no “Remove” on A's files; only the uploader can remove a file. “Remove” is also not offered on a file that answers an open question, once the final release is requested, after the release, or on a withdrawn request.
- Step 7: RMM sees each file at its question and on the Documents tab, with file name, uploader and upload date.</t>
        </is>
      </c>
      <c r="H11" s="9" t="inlineStr">
        <is>
          <t>REQ-PROC-011, REQ-PROC-031</t>
        </is>
      </c>
      <c r="I11" s="9" t="inlineStr">
        <is>
          <t>High</t>
        </is>
      </c>
      <c r="J11" s="10" t="inlineStr"/>
      <c r="K11" s="10" t="inlineStr"/>
      <c r="L11" s="10" t="inlineStr"/>
      <c r="M11" s="11" t="inlineStr"/>
    </row>
    <row r="12" ht="175" customHeight="1">
      <c r="A12" s="8" t="inlineStr">
        <is>
          <t>TC-11</t>
        </is>
      </c>
      <c r="B12" s="9" t="inlineStr">
        <is>
          <t>Supplier fills in – saving and teamwork</t>
        </is>
      </c>
      <c r="C12" s="9" t="inlineStr">
        <is>
          <t>Supplier contacts A and B; Raw Material Manager (RMM) to check</t>
        </is>
      </c>
      <c r="D12" s="8" t="inlineStr">
        <is>
          <t>Answers save automatically; continue later; two colleagues work at the same time</t>
        </is>
      </c>
      <c r="E12" s="9" t="inlineStr">
        <is>
          <t>Request in “Fill in the questionnaire”. Contacts A and B are both named on it.</t>
        </is>
      </c>
      <c r="F12" s="9" t="inlineStr">
        <is>
          <t>1. As A, answer questions in two sections and watch the bottom of the left menu.
2. Close the browser without saving. Later, sign in again as A.
3. On My requests, read the greeting, the task row and the card. Click “Continue”.
4. As B in another browser, open the same request and answer a question in another section.
5. As A, click Reload in the left menu.
6. A and B change the same answer one after the other, then both click Reload.
7. As RMM, open the case's Questionnaire tab.</t>
        </is>
      </c>
      <c r="G12" s="9" t="inlineStr">
        <is>
          <t>- There is no save button. The menu shows “Saving…”, then “Updated &lt;time&gt;”.
- Step 3: “Welcome back, &lt;first name&gt;”. The task row shows “Questionnaire · N % done · M items still open” with “Continue”; the card shows “Continue questionnaire”. “Continue” opens the first section with something missing, with all earlier answers.
- Steps 4–5: B sees A's answers with A's name. After Reload, A sees B's answer with “Answered by &lt;B&gt;”. The completeness bar shows “&lt;B&gt; can work on other sections at the same time.” A note says B also worked on this questionnaire and that, if both change the same answer, the later save counts.
- Step 6: both see the later save, with the name of whoever saved it. No answer is lost.
- Step 7: RMM sees the answers of both contacts, each with its own name and time.</t>
        </is>
      </c>
      <c r="H12" s="9" t="inlineStr">
        <is>
          <t>REQ-CTL-001, REQ-PROC-006</t>
        </is>
      </c>
      <c r="I12" s="9" t="inlineStr">
        <is>
          <t>High</t>
        </is>
      </c>
      <c r="J12" s="10" t="inlineStr"/>
      <c r="K12" s="10" t="inlineStr"/>
      <c r="L12" s="10" t="inlineStr"/>
      <c r="M12" s="11" t="inlineStr"/>
    </row>
    <row r="13" ht="225" customHeight="1">
      <c r="A13" s="8" t="inlineStr">
        <is>
          <t>TC-12</t>
        </is>
      </c>
      <c r="B13" s="9" t="inlineStr">
        <is>
          <t>Supplier fills in – Beiersdorf view</t>
        </is>
      </c>
      <c r="C13" s="9" t="inlineStr">
        <is>
          <t>Raw Material Manager (RMM)</t>
        </is>
      </c>
      <c r="D13" s="8" t="inlineStr">
        <is>
          <t>RMM follows the case while the supplier fills in the CIQ</t>
        </is>
      </c>
      <c r="E13" s="9" t="inlineStr">
        <is>
          <t>The supplier contacts of a case have answered some metadata questions and some sections, but have not yet confirmed completeness.</t>
        </is>
      </c>
      <c r="F13" s="9" t="inlineStr">
        <is>
          <t>1. Open the case from Cases.
2. Check the header and the status strip.
3. On Overview, read the cards Reviews, Confirmations, Scope and Supplier contacts.
4. Open the Questionnaire tab and click the filters “All sections”, “Missing items” and “Not applicable”.
5. Open a section with answers, then a section that does not apply.</t>
        </is>
      </c>
      <c r="G13" s="9" t="inlineStr">
        <is>
          <t>- The status strip shows four steps: Supplier fills in, Review, Final release, Completed. The current one is Supplier fills in, with “In “Supplier filling in the CIQ” since … · the next step is with the supplier”.
- Reviews: “The reviews start when the supplier confirms completeness.” and “Based on the current scope: RMM (whole CIQ), …” with the expected departments, and that Customs and Legal will be informed.
- Confirmations: “Nothing confirmed yet.”
- Scope: “Follows the supplier's metadata answers until completeness”, with counts for Mandatory, Optional and Not applicable, and “Required metadata questions answered: x of 8”.
- Supplier contacts lists the named contacts; a contact not allowed to confirm is marked “May not confirm”.
- Each answer shows who entered it and when.
- A section that does not apply shows “Why not applicable” with the reason; the supplier does not see this section.
- RMM has no control to change an answer.</t>
        </is>
      </c>
      <c r="H13" s="9" t="inlineStr">
        <is>
          <t>REQ-PROC-006, REQ-PROC-009, REQ-PROC-010, REQ-CTL-001, REQ-CTL-006</t>
        </is>
      </c>
      <c r="I13" s="9" t="inlineStr">
        <is>
          <t>High</t>
        </is>
      </c>
      <c r="J13" s="10" t="inlineStr"/>
      <c r="K13" s="10" t="inlineStr"/>
      <c r="L13" s="10" t="inlineStr"/>
      <c r="M13" s="11" t="inlineStr"/>
    </row>
    <row r="14" ht="312.5" customHeight="1">
      <c r="A14" s="8" t="inlineStr">
        <is>
          <t>TC-13</t>
        </is>
      </c>
      <c r="B14" s="9" t="inlineStr">
        <is>
          <t>Completeness</t>
        </is>
      </c>
      <c r="C14" s="9" t="inlineStr">
        <is>
          <t>Supplier contacts A (may confirm) and B (may not confirm); Raw Material Manager (RMM) to check</t>
        </is>
      </c>
      <c r="D14" s="8" t="inlineStr">
        <is>
          <t>Check completeness, confirm it and submit to Beiersdorf</t>
        </is>
      </c>
      <c r="E14" s="9" t="inlineStr">
        <is>
          <t>Request in “Fill in the questionnaire” with some required items still open. Contact A may confirm; contact B is named but may not confirm.</t>
        </is>
      </c>
      <c r="F14" s="9" t="inlineStr">
        <is>
          <t>1. As A, click “Check completeness”.
2. Click one of the listed items.
3. Click “Confirm completeness” and read the window.
4. Click “Show what is missing”. Answer or justify every listed item.
5. Click “Check completeness” again.
6. As B, open the request.
7. As A, click “Confirm completeness”, tick “I confirm the statement above on behalf of my company.” and click “Confirm and submit”.
8. As RMM, open the case.</t>
        </is>
      </c>
      <c r="G14" s="9" t="inlineStr">
        <is>
          <t>- Step 1: “N items still need an answer or a justification”, grouped by section in questionnaire order, each item a link. Requested documents appear in plain words.
- Step 2: the page jumps to the question and highlights it.
- Step 3: the window lists the missing items (“Complete them first…”); the checkbox and “Confirm and submit” are disabled.
- Step 5: “Everything required is answered or justified – You can confirm completeness now. Optional chapters and chapters answered with documents only do not block the confirmation.” The bar shows 100 %.
- Step 6: B sees “&lt;A&gt; can confirm completeness for your company.” instead of the button.
- Step 7: the window shows “From our point of view the requested data and documents are complete. This is not a Beiersdorf approval of the raw material.”, plus Confirmed by (name, title), E-mail, On behalf of (company) and Time. It says data can still be corrected until Beiersdorf requests the final release.
- After submitting: the toast “Completeness confirmed. Beiersdorf can now review your questionnaire…”. The status becomes “Beiersdorf is reviewing”, the step bar moves to “Beiersdorf review”, and the banner reads “Beiersdorf is reviewing. You confirmed completeness on &lt;date&gt;.” The fill-in task disappears; the card moves to “With Beiersdorf” with “View submission”.
- Step 8: the case shows “Review (RMM and departments)” and the confirmation with A's name, e-mail and time (details in TC-14).</t>
        </is>
      </c>
      <c r="H14" s="9" t="inlineStr">
        <is>
          <t>REQ-PROC-005, REQ-PROC-012, REQ-PROC-014, REQ-PROC-015, REQ-CTL-001</t>
        </is>
      </c>
      <c r="I14" s="9" t="inlineStr">
        <is>
          <t>High</t>
        </is>
      </c>
      <c r="J14" s="10" t="inlineStr"/>
      <c r="K14" s="10" t="inlineStr"/>
      <c r="L14" s="10" t="inlineStr"/>
      <c r="M14" s="11" t="inlineStr"/>
    </row>
    <row r="15" ht="262.5" customHeight="1">
      <c r="A15" s="8" t="inlineStr">
        <is>
          <t>TC-14</t>
        </is>
      </c>
      <c r="B15" s="9" t="inlineStr">
        <is>
          <t>Completeness – reviews start</t>
        </is>
      </c>
      <c r="C15" s="9" t="inlineStr">
        <is>
          <t>Raw Material Manager (RMM); department reviewers</t>
        </is>
      </c>
      <c r="D15" s="8" t="inlineStr">
        <is>
          <t>After completeness, reviews start for exactly the departments concerned</t>
        </is>
      </c>
      <c r="E15" s="9" t="inlineStr">
        <is>
          <t>TC-13 done. Before completeness, Overview &gt; Reviews named the expected departments; at least one department was not among them.</t>
        </is>
      </c>
      <c r="F15" s="9" t="inlineStr">
        <is>
          <t>1. As RMM, open the case and click Reload.
2. Check the phase, the status strip and Overview &gt; Confirmations.
3. Check Overview &gt; Reviews.
4. Open the Dashboard and read “Needs your action”.
5. As each department reviewer named in Reviews, open My reviews &gt; To review.
6. As a reviewer of a department not named in Reviews, open My reviews, then the case from Cases.
7. As the Safety or Regulatory reviewer, open the case's review and its RMES tab.
8. If the supplier chose Waste / side stream as an origin (TC-07), check the RMM Dashboard and the RMM review.</t>
        </is>
      </c>
      <c r="G15" s="9" t="inlineStr">
        <is>
          <t>- The phase is “Review (RMM and departments)”, marked “With Beiersdorf”. The status strip is at Review.
- Confirmations shows “Completeness confirmation” with the Supplier badge, the contact's name, role, e-mail and time. The card says none of the confirmations is a raw-material approval.
- Reviews shows the RMM card (“Covers: The whole CIQ”) and one card per department that leads a section in scope, each “In review” with the assignee and start date. Safety and Regulatory show “Decision: No decision”; the other departments show “No decision step”. Customs and Legal show “Informed · read-only”.
- Step 4: “My review”: “Your review of the whole CIQ is open”.
- Step 5: each named reviewer finds the case under To review with “In review”.
- Step 6: the department that is not concerned has no row. The case page is read-only, with no “Open my review” button.
- Step 7: the RMES tab shows “RMES · &lt;case ID&gt; · internal: never visible to the supplier · filled automatically from the CIQ” and “Record created &lt;date, time&gt;”, with the case's 8 fields (TC-26).
- Step 8: the Dashboard shows “Origin without rules: Waste / side stream”, and the RMM review shows “Flagged for you: origin without rules”. It does not block any completion.</t>
        </is>
      </c>
      <c r="H15" s="9" t="inlineStr">
        <is>
          <t>REQ-PROC-014, REQ-PROC-015, REQ-PROC-017, REQ-PROC-018, REQ-PROC-021, REQ-CFG-006, REQ-CTL-003</t>
        </is>
      </c>
      <c r="I15" s="9" t="inlineStr">
        <is>
          <t>High</t>
        </is>
      </c>
      <c r="J15" s="10" t="inlineStr"/>
      <c r="K15" s="10" t="inlineStr"/>
      <c r="L15" s="10" t="inlineStr"/>
      <c r="M15" s="11" t="inlineStr"/>
    </row>
    <row r="16" ht="187.5" customHeight="1">
      <c r="A16" s="8" t="inlineStr">
        <is>
          <t>TC-15</t>
        </is>
      </c>
      <c r="B16" s="9" t="inlineStr">
        <is>
          <t>Department review</t>
        </is>
      </c>
      <c r="C16" s="9" t="inlineStr">
        <is>
          <t>Quality Management reviewer (repeat for one other department)</t>
        </is>
      </c>
      <c r="D16" s="8" t="inlineStr">
        <is>
          <t>Review workspace: read every section, own sections first, no editing of supplier data</t>
        </is>
      </c>
      <c r="E16" s="9" t="inlineStr">
        <is>
          <t>A case in review with a QM task. The supplier uploaded at least one document.</t>
        </is>
      </c>
      <c r="F16" s="9" t="inlineStr">
        <is>
          <t>1. Open My reviews &gt; To review and click the case.
2. Read the workspace header and the panel on the right.
3. In the section list, open a section under “My sections”.
4. Open a section under “Other sections” (e.g. a Safety section).
5. Open K2.1 Components and additives.
6. Find an uploaded document in a section.
7. Try to change any answer or document.
8. Click “Case overview”, then go back.</t>
        </is>
      </c>
      <c r="G16" s="9" t="inlineStr">
        <is>
          <t>- The header shows the case ID, INCI, supplier, BDF material no. and trade name, with the phase badge, and “Completeness confirmed &lt;date&gt; by &lt;name&gt; · answers stay editable until the final release is requested”.
- “My QM review” shows “In review” with “Assigned to you · case due &lt;date&gt;”. “Other reviews” shows the status of every other review.
- Every answer shows who entered it and when, with an “Ask supplier” button next to it and on the section.
- Other departments' sections can be read in full.
- K2.1 shows one row per component (INCI / IUPAC with function and additive, CAS / EC or REACH no., origin, concentration), each with “Ask supplier”.
- A document shows its file name and upload date.
- No answer or document can be changed or deleted by the reviewer.
- “Case overview” opens the case page.</t>
        </is>
      </c>
      <c r="H16" s="9" t="inlineStr">
        <is>
          <t>REQ-PROC-016, REQ-PROC-018, REQ-PROC-019, REQ-PROC-011, REQ-CTL-001</t>
        </is>
      </c>
      <c r="I16" s="9" t="inlineStr">
        <is>
          <t>High</t>
        </is>
      </c>
      <c r="J16" s="10" t="inlineStr"/>
      <c r="K16" s="10" t="inlineStr"/>
      <c r="L16" s="10" t="inlineStr"/>
      <c r="M16" s="11" t="inlineStr"/>
    </row>
    <row r="17" ht="150" customHeight="1">
      <c r="A17" s="8" t="inlineStr">
        <is>
          <t>TC-16</t>
        </is>
      </c>
      <c r="B17" s="9" t="inlineStr">
        <is>
          <t>Department review</t>
        </is>
      </c>
      <c r="C17" s="9" t="inlineStr">
        <is>
          <t>Quality Management reviewer; a second Quality Management reviewer</t>
        </is>
      </c>
      <c r="D17" s="8" t="inlineStr">
        <is>
          <t>Hand a review to a colleague of the same department</t>
        </is>
      </c>
      <c r="E17" s="9" t="inlineStr">
        <is>
          <t>A case in review with an open QM review assigned to reviewer 1. Reviewer 2 is another active QM user.</t>
        </is>
      </c>
      <c r="F17" s="9" t="inlineStr">
        <is>
          <t>1. As reviewer 1, in the review workspace, click “Reassign” next to “My QM review”.
2. Choose reviewer 2 in “Hand over to” and click “Reassign” without a reason.
3. Enter a reason and click “Reassign”.
4. As reviewer 2, open My reviews and the case.
5. As reviewer 1, open My reviews.</t>
        </is>
      </c>
      <c r="G17" s="9" t="inlineStr">
        <is>
          <t>- The window “Reassign this review” shows who has the review now.
- Step 2: “Say why the review changes hands.”
- The window says open points you raised stay with you.
- Step 3: the header shows “Assigned to &lt;reviewer 2&gt;”. The case history records the reason.
- Step 4: reviewer 2 has the case under To review, with “Assigned to you”.
- Step 5: the case shows “Assigned to &lt;reviewer 2&gt;”.
- With no other active member in the department, the window says “Nobody else in &lt;department&gt; can take over … A review is handed only to another member of the same department.”</t>
        </is>
      </c>
      <c r="H17" s="9" t="inlineStr">
        <is>
          <t>REQ-CTL-003</t>
        </is>
      </c>
      <c r="I17" s="9" t="inlineStr">
        <is>
          <t>Medium</t>
        </is>
      </c>
      <c r="J17" s="10" t="inlineStr"/>
      <c r="K17" s="10" t="inlineStr"/>
      <c r="L17" s="10" t="inlineStr"/>
      <c r="M17" s="11" t="inlineStr"/>
    </row>
    <row r="18" ht="275" customHeight="1">
      <c r="A18" s="8" t="inlineStr">
        <is>
          <t>TC-17</t>
        </is>
      </c>
      <c r="B18" s="9" t="inlineStr">
        <is>
          <t>Department review – changes during the review</t>
        </is>
      </c>
      <c r="C18" s="9" t="inlineStr">
        <is>
          <t>Supplier contact; Regulatory Affairs and Quality Management reviewers (to check)</t>
        </is>
      </c>
      <c r="D18" s="8" t="inlineStr">
        <is>
          <t>Supplier corrects data during the review; reviewers see it</t>
        </is>
      </c>
      <c r="E18" s="9" t="inlineStr">
        <is>
          <t>Completeness is confirmed and the review is running. Origin Vegetable answered. The QM reviewer has already completed its review; the Regulatory review is open.</t>
        </is>
      </c>
      <c r="F18" s="9" t="inlineStr">
        <is>
          <t>1. As the supplier, open the request. Read the banner and the heading above the questionnaire.
2. Change “Country of origin” in K2.3 and add a new certificate of analysis in K1.
3. In Metadata questions, answer “Is the material a UV filter?” with Yes.
4. Deselect “Vegetable (bio mass)” in the origin question and read the message. Look at K2.1, then select “Vegetable (bio mass)” again.
5. As the Regulatory reviewer, open the case from My reviews.
6. As the QM reviewer, open My reviews and the case.</t>
        </is>
      </c>
      <c r="G18" s="9" t="inlineStr">
        <is>
          <t>- Step 1: the heading reads “Your questionnaire – You can still correct data and add documents until Beiersdorf requests your final release. Beiersdorf's reviewers are told about each change and look at it again. A changed metadata answer can only add sections now.” There is no completeness bar any more.
- Step 2: the change is saved with your name and time; A1's locked “Country of origin” shows the new value. The new certificate is listed next to the earlier one with today's date; the earlier one stays.
- Step 3: “Added to your questionnaire: A5 UV filters. You also get a task for it.” A5 shows “Added after your completeness confirmation”.
- Step 4: “Stays in your questionnaire: A1 …, A2 …, A9 …. You confirmed completeness, so sections are only added now.” No section disappears. While Vegetable is deselected, each component with that origin shows “Not one of the origins you selected in the metadata questions” under Origin (it would block the final release); selecting Vegetable again clears it.
- Step 5: a notice names the changed sections and says the changed answers and documents are marked in the sections. A5 is in scope.
- Step 6: the QM review stays “Completed”. Its workspace notice “Your review is completed” says the supplier changed K1 since the completion. Automatic reopening of a department review, and its e-mail, are not in this version; only the RMM can reopen a review (its own). Clicking “Reopen my review” there shows “Ask RMM: only RMM can restart a review in this version.”
- The case history records each change with name and time.</t>
        </is>
      </c>
      <c r="H18" s="9" t="inlineStr">
        <is>
          <t>REQ-PROC-007, REQ-PROC-016, REQ-PROC-031, REQ-PROC-011, REQ-CFG-008, REQ-CFG-009</t>
        </is>
      </c>
      <c r="I18" s="9" t="inlineStr">
        <is>
          <t>High</t>
        </is>
      </c>
      <c r="J18" s="10" t="inlineStr"/>
      <c r="K18" s="10" t="inlineStr"/>
      <c r="L18" s="10" t="inlineStr"/>
      <c r="M18" s="11" t="inlineStr"/>
    </row>
    <row r="19" ht="250" customHeight="1">
      <c r="A19" s="8" t="inlineStr">
        <is>
          <t>TC-18</t>
        </is>
      </c>
      <c r="B19" s="9" t="inlineStr">
        <is>
          <t>Open points – raise</t>
        </is>
      </c>
      <c r="C19" s="9" t="inlineStr">
        <is>
          <t>Product Safety reviewer (repeat once as RMM); Supplier contact (to check)</t>
        </is>
      </c>
      <c r="D19" s="8" t="inlineStr">
        <is>
          <t>Ask the supplier a question about one answer</t>
        </is>
      </c>
      <c r="E19" s="9" t="inlineStr">
        <is>
          <t>A case in review with a Safety task. The reviewer has no open point on it yet.</t>
        </is>
      </c>
      <c r="F19" s="9" t="inlineStr">
        <is>
          <t>1. In the review workspace, open a section, e.g. K2.2 Byproducts and contaminations.
2. Click “Ask supplier” next to one answer. Check the Reference and keep the Type “Query”.
3. Leave “Question to the supplier” and “Business justification” empty and click “Send to supplier”.
4. Clear the due date and try again.
5. Fill in the question and the justification. Keep the default due date and “Responsible at Beiersdorf”. Click “Send to supplier”.
6. Go back to My reviews.
7. As a case contact, open My requests and the request.</t>
        </is>
      </c>
      <c r="G19" s="9" t="inlineStr">
        <is>
          <t>- The window “Ask the supplier” shows the exact answer as the reference. It says “The supplier sees the reference, the question, the justification and the due date. Internal notes, the RMES and the Safety and Regulatory decisions stay internal.” and “E-mail to &lt;case contacts&gt; (no internal content).”
- Step 3: “Write the question the supplier should answer.” and “Say why Beiersdorf needs this.” Nothing is sent.
- Step 4: “Pick today or a later date.” Nothing is sent.
- Step 5: “My open points (1)” shows the point with the reference and question, “Due &lt;date&gt; · Round 1 · Raised by you · Responsible &lt;name&gt; · Why: &lt;justification&gt;” and “With the supplier, waiting for an answer.” “My Safety review” shows “Waiting for supplier”; the bottom bar shows “1 item blocks your completion”.
- Step 6: the case is under “Waiting for supplier”.
- Step 7: the request is under “Needs your action”; “Questions for you” shows “1 waiting for your answer” with the reference, question, justification, due date and the asker. The reference jumps to the exact answer. No internal note, RMES content or decision is visible.</t>
        </is>
      </c>
      <c r="H19" s="9" t="inlineStr">
        <is>
          <t>REQ-PROC-029, REQ-PROC-030, REQ-ADR-001, REQ-CTL-002, REQ-CTL-003, REQ-CTL-010</t>
        </is>
      </c>
      <c r="I19" s="9" t="inlineStr">
        <is>
          <t>High</t>
        </is>
      </c>
      <c r="J19" s="10" t="inlineStr"/>
      <c r="K19" s="10" t="inlineStr"/>
      <c r="L19" s="10" t="inlineStr"/>
      <c r="M19" s="11" t="inlineStr"/>
    </row>
    <row r="20" ht="112.5" customHeight="1">
      <c r="A20" s="8" t="inlineStr">
        <is>
          <t>TC-19</t>
        </is>
      </c>
      <c r="B20" s="9" t="inlineStr">
        <is>
          <t>Open points – raise</t>
        </is>
      </c>
      <c r="C20" s="9" t="inlineStr">
        <is>
          <t>Regulatory Affairs reviewer; Supplier contact (to check)</t>
        </is>
      </c>
      <c r="D20" s="8" t="inlineStr">
        <is>
          <t>Ask about one value of a K2.1 component and request a document</t>
        </is>
      </c>
      <c r="E20" s="9" t="inlineStr">
        <is>
          <t>A case in review with a Regulatory task. K2.1 has at least three components. A document is uploaded in a section in scope.</t>
        </is>
      </c>
      <c r="F20" s="9" t="inlineStr">
        <is>
          <t>1. In the review workspace, open K2.1 Components and additives.
2. On component 3, click “Ask supplier”. Under “About which value?”, choose “CAS number”. Write the question and justification and click “Send to supplier”.
3. Open the section with the uploaded document and click “Ask supplier” next to the document.
4. Check that the Type is “Document request”. Write what is needed and why, then send.
5. As a case contact, open both questions in the Supplier Portal.</t>
        </is>
      </c>
      <c r="G20" s="9" t="inlineStr">
        <is>
          <t>- Step 2: the Reference reads “K2.1 › component 3 (&lt;INCI&gt;) › CAS number”. The point appears under My open points, linked to that row.
- Step 4: the Reference names the document by file name and upload date.
- Step 5: the supplier sees two separate tasks. Each says exactly what it refers to (component 3, CAS number; the named document) and jumps to it. Component 3 shows “Asked about” and cannot be removed while the question is open.</t>
        </is>
      </c>
      <c r="H20" s="9" t="inlineStr">
        <is>
          <t>REQ-PROC-029, REQ-PROC-030, REQ-PROC-011, REQ-PROC-006</t>
        </is>
      </c>
      <c r="I20" s="9" t="inlineStr">
        <is>
          <t>High</t>
        </is>
      </c>
      <c r="J20" s="10" t="inlineStr"/>
      <c r="K20" s="10" t="inlineStr"/>
      <c r="L20" s="10" t="inlineStr"/>
      <c r="M20" s="11" t="inlineStr"/>
    </row>
    <row r="21" ht="275" customHeight="1">
      <c r="A21" s="8" t="inlineStr">
        <is>
          <t>TC-20</t>
        </is>
      </c>
      <c r="B21" s="9" t="inlineStr">
        <is>
          <t>Open points – answer and accept</t>
        </is>
      </c>
      <c r="C21" s="9" t="inlineStr">
        <is>
          <t>Supplier contact; Product Safety reviewer</t>
        </is>
      </c>
      <c r="D21" s="8" t="inlineStr">
        <is>
          <t>Supplier answers a question; the reviewer sees the answer and accepts it</t>
        </is>
      </c>
      <c r="E21" s="9" t="inlineStr">
        <is>
          <t>The Safety question from TC-18 is open and not answered.</t>
        </is>
      </c>
      <c r="F21" s="9" t="inlineStr">
        <is>
          <t>1. As the supplier, in “Your tasks”, click “Answer” on “Question from Beiersdorf”.
2. Click “Go to &lt;reference&gt;”, then reopen the question from “Questions for you”.
3. With “Write an answer” selected, type the answer and click “Send to Beiersdorf”.
4. As the Safety reviewer, open My reviews and click Reload. Click the alert, then open the case.
5. Read the point under My open points and click “Accept”. Expand “Closed”.
6. As the supplier, open the question again.</t>
        </is>
      </c>
      <c r="G21" s="9" t="inlineStr">
        <is>
          <t>- Step 1: the task row shows the material, “&lt;reference&gt; · Asked by &lt;reviewer&gt;, Beiersdorf”, the question, the due date and “Answer”. The card says “Beiersdorf is reviewing · 1 question for you” with “Answer the question”.
- The drawer “Question from Beiersdorf” shows “Your answer needed”, the question, Refers to, Due, Asked by, “Why we ask” and the conversation.
- Step 2: the field opens marked “Requested by Beiersdorf”; the navigator entry shows “· requested”.
- Step 3: “Send to Beiersdorf” stays disabled while the answer is empty. After sending: the toast “Your response was sent to Beiersdorf.”, the badge “With Beiersdorf”, and the task disappears.
- Step 4: My reviews shows “1 supplier answer to check”; the case is back under To review with “1 answered”.
- Step 5: the point reads “The supplier answered: your decision” with the answer, “Accept”, “Return to supplier” and the links “Close as not accepted”, “Edit” and “Close, no longer needed”. After Accept it moves to Closed with “Accepted by &lt;name&gt; on &lt;date&gt;”, and the blocker disappears from the bottom bar.
- Step 6: the question shows “Closed”, the conversation shows “accepted the answer”, and the drawer says “This item is closed. No further action is needed from you.”</t>
        </is>
      </c>
      <c r="H21" s="9" t="inlineStr">
        <is>
          <t>REQ-PROC-032, REQ-PROC-033, REQ-PROC-034, REQ-CTL-010</t>
        </is>
      </c>
      <c r="I21" s="9" t="inlineStr">
        <is>
          <t>High</t>
        </is>
      </c>
      <c r="J21" s="10" t="inlineStr"/>
      <c r="K21" s="10" t="inlineStr"/>
      <c r="L21" s="10" t="inlineStr"/>
      <c r="M21" s="11" t="inlineStr"/>
    </row>
    <row r="22" ht="162.5" customHeight="1">
      <c r="A22" s="8" t="inlineStr">
        <is>
          <t>TC-21</t>
        </is>
      </c>
      <c r="B22" s="9" t="inlineStr">
        <is>
          <t>Open points – return for a new round</t>
        </is>
      </c>
      <c r="C22" s="9" t="inlineStr">
        <is>
          <t>Quality Management reviewer; Supplier contact; Raw Material Manager (RMM) to check</t>
        </is>
      </c>
      <c r="D22" s="8" t="inlineStr">
        <is>
          <t>Return an answer to the supplier; the loop repeats and keeps its full history</t>
        </is>
      </c>
      <c r="E22" s="9" t="inlineStr">
        <is>
          <t>A QM question was answered by the supplier.</t>
        </is>
      </c>
      <c r="F22" s="9" t="inlineStr">
        <is>
          <t>1. As the QM reviewer, click “Return to supplier” on the answered point. Click “Return to supplier” again without a reason.
2. Enter the reason (the supplier sees it) and confirm.
3. As the supplier, open the question. Answer again and send.
4. As the QM reviewer, click Reload and open the point. Return it once more, or accept it.
5. As RMM, open the case page &gt; Open points, select “All” and click the point.</t>
        </is>
      </c>
      <c r="G22" s="9" t="inlineStr">
        <is>
          <t>- Step 1: “A short reason is required.”
- Step 2: the point is open again with the supplier, in round 2. History shows “Returned to supplier” with the reason, name and time. “My QM review” shows “Waiting for supplier” again.
- Step 3: the task is back with “More information needed”. The drawer shows the reason with “Original question: …” and the earlier conversation, which shows “asked for more information”.
- Step 4: the reviewer sees the round 2 answer. The loop can repeat any number of times.
- Step 5: the drawer lists every round in time order (Raised, Answered, Returned to supplier, …), each with Beiersdorf or Supplier, name, time and any document.</t>
        </is>
      </c>
      <c r="H22" s="9" t="inlineStr">
        <is>
          <t>REQ-PROC-033, REQ-PROC-034, REQ-PROC-035</t>
        </is>
      </c>
      <c r="I22" s="9" t="inlineStr">
        <is>
          <t>High</t>
        </is>
      </c>
      <c r="J22" s="10" t="inlineStr"/>
      <c r="K22" s="10" t="inlineStr"/>
      <c r="L22" s="10" t="inlineStr"/>
      <c r="M22" s="11" t="inlineStr"/>
    </row>
    <row r="23" ht="200" customHeight="1">
      <c r="A23" s="8" t="inlineStr">
        <is>
          <t>TC-22</t>
        </is>
      </c>
      <c r="B23" s="9" t="inlineStr">
        <is>
          <t>Open points – documents and “cannot provide”</t>
        </is>
      </c>
      <c r="C23" s="9" t="inlineStr">
        <is>
          <t>Supplier contact; Quality Management and Product Safety reviewers (to check)</t>
        </is>
      </c>
      <c r="D23" s="8" t="inlineStr">
        <is>
          <t>Answer a document request with a file, and say another item cannot be provided</t>
        </is>
      </c>
      <c r="E23" s="9" t="inlineStr">
        <is>
          <t>A case in review. QM sent a “Document request” on K1 “Certificate of analysis (CoA)”. Safety sent a query on another item.</t>
        </is>
      </c>
      <c r="F23" s="9" t="inlineStr">
        <is>
          <t>1. As the supplier, open the task “Document request” from “Your tasks”.
2. Choose a file in the drop area. Click “Remove” next to it, choose it again and add a comment.
3. Click “Send to Beiersdorf”, then open K1 in the questionnaire.
4. Open the Safety query, choose “We cannot provide this”, type 9 characters, then a full reason, and send.
5. As the QM reviewer and the Safety reviewer, open the points.</t>
        </is>
      </c>
      <c r="G23" s="9" t="inlineStr">
        <is>
          <t>- Step 1: the drawer opens with “Upload a document” selected and lists the documents already at K1 › Certificate of analysis. The hint says the file is stored in the questionnaire at that item, next to earlier documents, with today's date.
- Step 2: the chosen file shows “&lt;size&gt; KB · not sent yet” and can be removed before sending.
- Step 3: the file appears at the CoA question with upload date and uploader, next to the earlier files. The conversation refers to it as stored at K1 › Certificate of analysis. Files are uploaded in the questionnaire only, never into the conversation.
- Step 4: with fewer than 10 characters the button stays disabled. After sending, the conversation shows “said this cannot be provided” and “Cannot provide: &lt;reason&gt;”.
- Step 5: QM sees the answer with the referenced document (file name and upload date). Safety sees “The supplier says this cannot be provided” with the reason. Both wait for the reviewer's decision.</t>
        </is>
      </c>
      <c r="H23" s="9" t="inlineStr">
        <is>
          <t>REQ-PROC-011, REQ-PROC-029, REQ-PROC-032, REQ-PROC-033</t>
        </is>
      </c>
      <c r="I23" s="9" t="inlineStr">
        <is>
          <t>High</t>
        </is>
      </c>
      <c r="J23" s="10" t="inlineStr"/>
      <c r="K23" s="10" t="inlineStr"/>
      <c r="L23" s="10" t="inlineStr"/>
      <c r="M23" s="11" t="inlineStr"/>
    </row>
    <row r="24" ht="87.5" customHeight="1">
      <c r="A24" s="8" t="inlineStr">
        <is>
          <t>TC-23</t>
        </is>
      </c>
      <c r="B24" s="9" t="inlineStr">
        <is>
          <t>Open points – additional section</t>
        </is>
      </c>
      <c r="C24" s="9" t="inlineStr">
        <is>
          <t>Regulatory Affairs reviewer</t>
        </is>
      </c>
      <c r="D24" s="8" t="inlineStr">
        <is>
          <t>A department adds a section (not in this version: only the window is checked)</t>
        </is>
      </c>
      <c r="E24" s="9" t="inlineStr">
        <is>
          <t>A case in review with an open Regulatory task. A7 Colorants does not apply to the case yet.</t>
        </is>
      </c>
      <c r="F24" s="9" t="inlineStr">
        <is>
          <t>1. In the review workspace, click “Add a section” below the section list.
2. Choose A7 Colorants and click “Add and ask the supplier” without a justification.
3. Enter the justification and click “Add and ask the supplier”.</t>
        </is>
      </c>
      <c r="G24" s="9" t="inlineStr">
        <is>
          <t>- The window “Add a section” offers only sections that do not apply yet, with when each is normally added and its lead department.
- Step 2: “A justification is required to add a section.”
- Step 3: the warning “Adding a section to the scope is not available in this version yet.” A7 is not added and the supplier gets no task.</t>
        </is>
      </c>
      <c r="H24" s="9" t="inlineStr">
        <is>
          <t>REQ-ADR-002, REQ-CFG-008, REQ-PROC-030, REQ-PROC-032</t>
        </is>
      </c>
      <c r="I24" s="9" t="inlineStr">
        <is>
          <t>High</t>
        </is>
      </c>
      <c r="J24" s="10" t="inlineStr"/>
      <c r="K24" s="10" t="inlineStr"/>
      <c r="L24" s="10" t="inlineStr"/>
      <c r="M24" s="11" t="inlineStr"/>
    </row>
    <row r="25" ht="262.5" customHeight="1">
      <c r="A25" s="8" t="inlineStr">
        <is>
          <t>TC-24</t>
        </is>
      </c>
      <c r="B25" s="9" t="inlineStr">
        <is>
          <t>Open points – edit</t>
        </is>
      </c>
      <c r="C25" s="9" t="inlineStr">
        <is>
          <t>Product Safety reviewer (raiser); Raw Material Manager (RMM); Supplier contact</t>
        </is>
      </c>
      <c r="D25" s="8" t="inlineStr">
        <is>
          <t>The raiser changes a question; the supplier sees the new wording; others cannot change it</t>
        </is>
      </c>
      <c r="E25" s="9" t="inlineStr">
        <is>
          <t>The Safety reviewer raised question 1 (not answered yet) and question 2 (answered by the supplier, waiting for a decision).</t>
        </is>
      </c>
      <c r="F25" s="9" t="inlineStr">
        <is>
          <t>1. As the supplier, open question 1 and type an answer without sending it.
2. As the Safety reviewer, click “Edit” on question 1. Empty the question and click “Save changes”.
3. Enter a new wording, a later due date and another “Responsible at Beiersdorf”. Click “Save changes” and expand “History”.
4. As the supplier, click Reload, then “Send to Beiersdorf”. Read the new wording and send again.
5. As the Safety reviewer, click “Edit” on question 2, change the wording and click “Save and send again”.
6. As the supplier, open question 2.
7. As RMM, open the review workspace and expand “Open points of other reviews”. Then open the case page &gt; Open points and click question 1.</t>
        </is>
      </c>
      <c r="G25" s="9" t="inlineStr">
        <is>
          <t>- Step 2: “The question cannot be empty.”
- Step 3: the window says changing the due date, the justification or the responsible person does not start a new round, and the supplier contacts get an e-mail. The point shows “Changed by the raiser”, the new due date and responsible person, and stays in round 1. History lists “Changed by the raiser” with name and time.
- Step 4: the task shows “Changed by Beiersdorf · &lt;date&gt;”. The conversation shows “Changed the question. Earlier wording: “…””, “Changed the due date from &lt;old&gt; to &lt;new&gt;.” and “Handed the question to &lt;name&gt;.” The first send is held back: “Beiersdorf changed this question while you were writing. Please check your answer against the wording above, then send it again. Your text is kept.” The second send goes through.
- Step 5: the window warns “The supplier has already answered. A changed question goes back to the supplier as a new round.”
- Step 6: question 2 is back under “Your answer needed” as a new task. The earlier answer stays in the conversation.
- Step 7: RMM sees both points read-only, without Edit or Close. The drawer reads “Read-only. Only &lt;raiser&gt; (Product Safety) can accept, return, edit or close this point.”</t>
        </is>
      </c>
      <c r="H25" s="9" t="inlineStr">
        <is>
          <t>REQ-PROC-033, REQ-PROC-034, REQ-PROC-035, REQ-ADR-001, REQ-CTL-010</t>
        </is>
      </c>
      <c r="I25" s="9" t="inlineStr">
        <is>
          <t>High</t>
        </is>
      </c>
      <c r="J25" s="10" t="inlineStr"/>
      <c r="K25" s="10" t="inlineStr"/>
      <c r="L25" s="10" t="inlineStr"/>
      <c r="M25" s="11" t="inlineStr"/>
    </row>
    <row r="26" ht="187.5" customHeight="1">
      <c r="A26" s="8" t="inlineStr">
        <is>
          <t>TC-25</t>
        </is>
      </c>
      <c r="B26" s="9" t="inlineStr">
        <is>
          <t>Open points – close</t>
        </is>
      </c>
      <c r="C26" s="9" t="inlineStr">
        <is>
          <t>Microbiology reviewer; Supplier contact</t>
        </is>
      </c>
      <c r="D26" s="8" t="inlineStr">
        <is>
          <t>Withdraw a question, and close an answer as not accepted</t>
        </is>
      </c>
      <c r="E26" s="9" t="inlineStr">
        <is>
          <t>The Microbiology reviewer has two points on a case in review. Point 1 is still with the supplier, who has its drawer open with typed text. Point 2 is answered by the supplier.</t>
        </is>
      </c>
      <c r="F26" s="9" t="inlineStr">
        <is>
          <t>1. As the reviewer, click “Close” on point 1, then “Close the point” without a reason.
2. Enter an internal reason and click “Close the point”.
3. As the supplier, click Reload with the drawer still open. Check “Your tasks” and “Questions for you”.
4. As the reviewer, click “Close as not accepted” on point 2, enter an internal reason and confirm.
5. Expand “Closed” and the History of both points.
6. As the supplier, open point 2.</t>
        </is>
      </c>
      <c r="G26" s="9" t="inlineStr">
        <is>
          <t>- The window “Close &lt;point ID&gt;” says the reason is internal, recorded in the case history and never shown to the supplier.
- Step 1: “A short internal reason is required.”
- Step 2: point 1 shows “Closed, no answer needed by &lt;name&gt; on &lt;date&gt;” and no longer blocks the review.
- Step 3: the open drawer shows “Beiersdorf closed this question on &lt;date&gt;. No answer is needed from you.”, with “Your unsent text, to copy if you need it:” and the typed text, and no answer box. The task is gone; the question stays under “Questions for you” as “Closed, no answer needed”.
- Steps 4–5: point 2 shows “Closed as not accepted by &lt;name&gt; on &lt;date&gt;”. Both histories show “Internal reason for closing”.
- Step 6: point 2 shows “Closed” and “This item is closed. No further action is needed from you.”
- Neither internal reason appears anywhere in the Supplier Portal.</t>
        </is>
      </c>
      <c r="H26" s="9" t="inlineStr">
        <is>
          <t>REQ-PROC-034, REQ-PROC-036, REQ-CTL-002, REQ-CTL-010</t>
        </is>
      </c>
      <c r="I26" s="9" t="inlineStr">
        <is>
          <t>High</t>
        </is>
      </c>
      <c r="J26" s="10" t="inlineStr"/>
      <c r="K26" s="10" t="inlineStr"/>
      <c r="L26" s="10" t="inlineStr"/>
      <c r="M26" s="11" t="inlineStr"/>
    </row>
    <row r="27" ht="487.5" customHeight="1">
      <c r="A27" s="8" t="inlineStr">
        <is>
          <t>TC-26</t>
        </is>
      </c>
      <c r="B27" s="9" t="inlineStr">
        <is>
          <t>RMES</t>
        </is>
      </c>
      <c r="C27" s="9" t="inlineStr">
        <is>
          <t>Product Safety reviewer (repeat as Regulatory Affairs); RMM, Quality Management reviewer and Supplier contact (to check)</t>
        </is>
      </c>
      <c r="D27" s="8" t="inlineStr">
        <is>
          <t>RMES shows the 8 fields filled automatically, with their CIQ sources (Safety and Regulatory)</t>
        </is>
      </c>
      <c r="E27" s="9" t="inlineStr">
        <is>
          <t>A case in review with Safety and Regulatory tasks. In K2.1 the supplier entered at least three components: two of the same origin (e.g. Vegetable (bio mass)) and one of another origin, one of them without CAS and EC number. K2.3 holds the specification of each origin used (for Vegetable or Animal: Part(s) used and Country of origin). In General the supplier answered “Manufacturer (name and address)”.</t>
        </is>
      </c>
      <c r="F27" s="9" t="inlineStr">
        <is>
          <t>1. As the Safety reviewer, open the case from My reviews and click the tab “RMES” next to “Questionnaire”.
2. Read the header: Raw material / tradename, Supplier and Manufacturer.
3. Click the source line under Manufacturer.
4. Go back to the RMES tab and read the Composition table and the line below it.
5. In the Free text column, click the source line of one text.
6. Look for anything on the RMES tab that you can type, choose or record.
7. As the Regulatory reviewer, open the same case's RMES tab.
8. As RMM and as the Quality Management reviewer, open the case's review workspace. As RMM, also open the case page &gt; Overview.
9. As the supplier, open the request and its questions.</t>
        </is>
      </c>
      <c r="G27" s="9" t="inlineStr">
        <is>
          <t>- Step 1: the tab is named “RMES” (no count). It shows “Raw Material Evaluation Sheet” with “RMES · &lt;case ID&gt; · internal: never visible to the supplier · filled automatically from the CIQ” and “Record created &lt;date, time&gt;”.
- Step 2: exactly three header fields. Raw material / tradename shows the trade name, Supplier the supplier's name, and Manufacturer the supplier's answer to “Manufacturer (name and address)”, never the supplier's name in its place. Each shows its CIQ source, e.g. “General · FLD-GEN-004 Manufacturer (name and address)”, and “as of &lt;date, time&gt;”. An unanswered field reads “Not answered yet”; an answer the supplier could not provide reads “Cannot provide: &lt;justification&gt;”.
- Step 3: the Questionnaire tab opens at General.
- Step 4: one row per K2.1 component, in the same order, with the columns #, INCI, %, CAS #, EC #, Source of origin and Free text. Each column names its CIQ field (FLD-2.1-001, FLD-2.1-007, FLD-2.1-002, FLD-2.1-003, FLD-2.3-01). % shows the CIQ range, e.g. “90–99 %”, or one value when minimum and maximum are equal. A blank CAS # or EC # shows “—”; EC # may hold a REACH registration number. Source of origin shows the component's origin. Free text shows that origin's specification from K2.3 with its field ID, e.g. “FLD-2.3-11 Fossil specification (e.g. oil, wax, gas)”; for Vegetable and Animal “FLD-2.1-101 Part(s) used” and “FLD-2.3-10 Country of origin”. The rows of the same origin show the same text, marked “*”, and the line below says “The CIQ asks the free text once per origin type, not per component: components of the same origin show the same text.”
- Step 5: the Questionnaire tab opens at K2.3.
- Step 6: nothing on the RMES tab can be edited. There are no criteria, limit checks, suggestions, findings or decision, and no Process ID / RMT ID / IRMA ID or Declaration.
- Step 7: Regulatory sees the same sheet with the same values.
- Step 8: RMM and Quality Management have no RMES tab, and the case page shows no RMES card.
- Step 9: nothing of the RMES is visible to the supplier: not the sheet, its labels or the word “RMES”.
- If the tab shows “Kissflow did not let your role read this case's questionnaire, so the RMES can't be filled.”, the reviewer's role cannot read the case: record Blocked and name the role.</t>
        </is>
      </c>
      <c r="H27" s="9" t="inlineStr">
        <is>
          <t>REQ-PROC-021, REQ-PROC-022, REQ-CFG-004, REQ-RMES-015</t>
        </is>
      </c>
      <c r="I27" s="9" t="inlineStr">
        <is>
          <t>High</t>
        </is>
      </c>
      <c r="J27" s="10" t="inlineStr"/>
      <c r="K27" s="10" t="inlineStr"/>
      <c r="L27" s="10" t="inlineStr"/>
      <c r="M27" s="11" t="inlineStr"/>
    </row>
    <row r="28" ht="162.5" customHeight="1">
      <c r="A28" s="8" t="inlineStr">
        <is>
          <t>TC-27</t>
        </is>
      </c>
      <c r="B28" s="9" t="inlineStr">
        <is>
          <t>RMES</t>
        </is>
      </c>
      <c r="C28" s="9" t="inlineStr">
        <is>
          <t>Supplier contact; Product Safety reviewer (to check)</t>
        </is>
      </c>
      <c r="D28" s="8" t="inlineStr">
        <is>
          <t>RMES follows a supplier change in Part 2; unchanged after the final release</t>
        </is>
      </c>
      <c r="E28" s="9" t="inlineStr">
        <is>
          <t>TC-26 done. The case is in review and the final release has not been requested yet.</t>
        </is>
      </c>
      <c r="F28" s="9" t="inlineStr">
        <is>
          <t>1. As the Safety reviewer, open the case's RMES tab and note the values.
2. As the supplier, open the request. In General, change “Manufacturer (name and address)”. In K2.1, change one component's concentration and add a component of an origin already used. In K2.3, change the specification of one origin used.
3. As the Safety reviewer, click Reload and open the RMES tab again.
4. Complete the case: every review completes and the supplier gives the final release (TC-31, TC-32).
5. As the Safety reviewer, open the completed case from My reviews &gt; Completed and its RMES tab.</t>
        </is>
      </c>
      <c r="G28" s="9" t="inlineStr">
        <is>
          <t>- Step 3: the sheet shows the new values without anyone copying them: the new manufacturer with a new “as of” time, the new range, the new component in its K2.1 position (marked “*” with the other rows of its origin), and the new specification in every row of that origin. The record line and “Record created” are unchanged. Nothing has to be confirmed or saved on the RMES.
- Step 5: the sheet shows exactly the released values. They cannot change any more, because the released CIQ is frozen.</t>
        </is>
      </c>
      <c r="H28" s="9" t="inlineStr">
        <is>
          <t>REQ-PROC-022, REQ-PROC-016, REQ-PROC-021</t>
        </is>
      </c>
      <c r="I28" s="9" t="inlineStr">
        <is>
          <t>High</t>
        </is>
      </c>
      <c r="J28" s="10" t="inlineStr"/>
      <c r="K28" s="10" t="inlineStr"/>
      <c r="L28" s="10" t="inlineStr"/>
      <c r="M28" s="11" t="inlineStr"/>
    </row>
    <row r="29" ht="362.5" customHeight="1">
      <c r="A29" s="8" t="inlineStr">
        <is>
          <t>TC-28</t>
        </is>
      </c>
      <c r="B29" s="9" t="inlineStr">
        <is>
          <t>Safety and Regulatory decision</t>
        </is>
      </c>
      <c r="C29" s="9" t="inlineStr">
        <is>
          <t>Product Safety reviewer (repeat as Regulatory Affairs); Regulatory Affairs reviewer and RMM (to check); Supplier contact (to check)</t>
        </is>
      </c>
      <c r="D29" s="8" t="inlineStr">
        <is>
          <t>Safety/Regulatory decision and completing the review</t>
        </is>
      </c>
      <c r="E29" s="9" t="inlineStr">
        <is>
          <t>A case in review with a Safety task and its RMES record (TC-26). No Safety open point is open; no Safety decision is recorded yet.</t>
        </is>
      </c>
      <c r="F29" s="9" t="inlineStr">
        <is>
          <t>1. In the review workspace, read the bottom bar and expand the list of blocking items.
2. Click “Record the decision” in the bar.
3. Read the “Safety decision” card. Choose “Approved”, add an optional comment and click “Record approval”.
4. Read the bottom bar. Click “Change decision”, then “Cancel”.
5. Open the RMES tab.
6. Click “Complete my review”.
7. As the Regulatory reviewer, open the same case's review workspace.
8. As RMM, open the case &gt; Overview.
9. As the supplier, open the request.</t>
        </is>
      </c>
      <c r="G29" s="9" t="inlineStr">
        <is>
          <t>- Step 1: “Safety decision: not recorded yet” with “Record the decision” and “Internal: the supplier never sees it.” The bar reads “1 item blocks your completion”, and the list names “The Safety decision (Approved or Rejected) is not recorded yet”; clicking it goes to the decision card.
- Step 2: the Questionnaire tab opens with the card “Safety decision” at the top of the right column, above the open points: “Internal. Only Product Safety records it; nobody decides for another department. It is not part of the RMES.”
- Step 3: the card shows “Approved” with the comment, name and time. The bar shows “Safety decision: Approved” and “Internal: the supplier never sees it.”
- Step 4: the bar shows “Nothing blocks your review” and “… It is not a raw-material approval.”
- Step 5: the RMES tab shows only the 8 fields, not the decision.
- Step 6: the bar reads “Product Safety review completed” with name, e-mail, time and “not a raw-material approval”. The case moves to My reviews &gt; Completed.
- Step 7: Regulatory has only its own “Regulatory decision” card; it cannot record or change the Safety decision.
- Step 8: Reviews shows Product Safety as “Completed” with “Decision: Approved”. Confirmations shows the review completion of Safety with name, e-mail and time.
- Step 9: the supplier sees no decision and gets no message for this completion.
- Before the case's RMES record exists, the card shows “Not possible yet” and “Record approval” is disabled.</t>
        </is>
      </c>
      <c r="H29" s="9" t="inlineStr">
        <is>
          <t>REQ-RMES-013, REQ-PROC-015, REQ-PROC-038, REQ-PROC-039</t>
        </is>
      </c>
      <c r="I29" s="9" t="inlineStr">
        <is>
          <t>High</t>
        </is>
      </c>
      <c r="J29" s="10" t="inlineStr"/>
      <c r="K29" s="10" t="inlineStr"/>
      <c r="L29" s="10" t="inlineStr"/>
      <c r="M29" s="11" t="inlineStr"/>
    </row>
    <row r="30" ht="212.5" customHeight="1">
      <c r="A30" s="8" t="inlineStr">
        <is>
          <t>TC-29</t>
        </is>
      </c>
      <c r="B30" s="9" t="inlineStr">
        <is>
          <t>Safety and Regulatory decision</t>
        </is>
      </c>
      <c r="C30" s="9" t="inlineStr">
        <is>
          <t>Product Safety reviewer; Raw Material Manager (RMM); Supplier contact (to check)</t>
        </is>
      </c>
      <c r="D30" s="8" t="inlineStr">
        <is>
          <t>A Rejected Safety decision is flagged to RMM, who decides how the case goes on</t>
        </is>
      </c>
      <c r="E30" s="9" t="inlineStr">
        <is>
          <t>A case in review. The Safety reviewer has no open point and no decision on it yet. RMM has not completed its own review.</t>
        </is>
      </c>
      <c r="F30" s="9" t="inlineStr">
        <is>
          <t>1. As the Safety reviewer, open the case's review workspace. On the Questionnaire tab, choose “Rejected” in the “Safety decision” card and click “Record rejection” without a reason.
2. Enter the reason, record it, and complete the Safety review.
3. As RMM, open the Dashboard, then the case page.
4. Click “Decide in my review”. In the bottom bar, click “Choose how to go on”.
5. Keep “Continue to final release”, leave the note empty and click “Continue and complete my review”.
6. Enter what was agreed with Safety and confirm.
7. As the supplier, open the request.</t>
        </is>
      </c>
      <c r="G30" s="9" t="inlineStr">
        <is>
          <t>- Step 1: “A rejection needs a reason.”
- Step 3: the Dashboard shows “Department rejected”: “Product Safety recorded “Rejected””, with the reason and a note that the decision is internal and never shown to the supplier. The case page shows a red banner with the reason and the buttons “Decide in my review” and “Cancel the case”.
- Step 4: the bar reads “Safety recorded Rejected. Choose how the case goes on before you complete.” with “Continue to final release” and “Cancel the case”.
- Step 5: “Write down what you agreed.”
- Step 6: RMM's review is completed with “Continued to the final release despite the Rejected decision of Safety: &lt;note&gt;”, also shown on the RMM card in Overview.
- Step 7: the supplier sees no decision, reason or note.
- Choosing “Cancel the case” instead needs a justification and cancels the case (see TC-37).</t>
        </is>
      </c>
      <c r="H30" s="9" t="inlineStr">
        <is>
          <t>REQ-RMES-013, REQ-RMES-014, REQ-RMES-015, REQ-CTL-002</t>
        </is>
      </c>
      <c r="I30" s="9" t="inlineStr">
        <is>
          <t>High</t>
        </is>
      </c>
      <c r="J30" s="10" t="inlineStr"/>
      <c r="K30" s="10" t="inlineStr"/>
      <c r="L30" s="10" t="inlineStr"/>
      <c r="M30" s="11" t="inlineStr"/>
    </row>
    <row r="31" ht="225" customHeight="1">
      <c r="A31" s="8" t="inlineStr">
        <is>
          <t>TC-30</t>
        </is>
      </c>
      <c r="B31" s="9" t="inlineStr">
        <is>
          <t>Review completion</t>
        </is>
      </c>
      <c r="C31" s="9" t="inlineStr">
        <is>
          <t>Quality Management reviewer (repeat for Microbiology and Regulatory Affairs, and for Sustainability on a case with the EUDR question answered Yes); Supplier contact (to check)</t>
        </is>
      </c>
      <c r="D31" s="8" t="inlineStr">
        <is>
          <t>Open items block the completion; complete the review once they are resolved</t>
        </is>
      </c>
      <c r="E31" s="9" t="inlineStr">
        <is>
          <t>A case in review. The QM reviewer has one point with the supplier and one point answered by the supplier.</t>
        </is>
      </c>
      <c r="F31" s="9" t="inlineStr">
        <is>
          <t>1. In the review workspace, read the bottom bar.
2. Expand the list of blocking items and click one item.
3. Resolve both points (accept or close).
4. Read the bar again and click “Complete my review”.
5. Open My reviews &gt; Completed, and the case page &gt; Overview.
6. As the supplier, open the request.</t>
        </is>
      </c>
      <c r="G31" s="9" t="inlineStr">
        <is>
          <t>- Step 1: “2 items block your completion”; “Complete my review” is disabled.
- For Regulatory Affairs the list also names its decision until it is recorded (TC-28).
- Step 2: each item names its point ID, type, reference, status (“with the supplier” or “answered, waiting for a decision”) and the responsible person. Clicking an item jumps to that point.
- Step 4: before completing, the bar reads “Nothing blocks your review” and “Confirms your department reviewed everything assigned and no query is open. It is not a raw-material approval.” It names the reviews still to complete before the final-release request goes to the supplier. After completing: “Quality Management review completed”, with name, e-mail, time and “not a raw-material approval”.
- Step 5: the case is under Completed. Overview shows QM as “Completed”; Confirmations shows its review completion.
- Step 6: the supplier gets no message; the request stays “Beiersdorf is reviewing”.</t>
        </is>
      </c>
      <c r="H31" s="9" t="inlineStr">
        <is>
          <t>REQ-PROC-036, REQ-PROC-038, REQ-PROC-040, REQ-PROC-015, REQ-CTL-006</t>
        </is>
      </c>
      <c r="I31" s="9" t="inlineStr">
        <is>
          <t>High</t>
        </is>
      </c>
      <c r="J31" s="10" t="inlineStr"/>
      <c r="K31" s="10" t="inlineStr"/>
      <c r="L31" s="10" t="inlineStr"/>
      <c r="M31" s="11" t="inlineStr"/>
    </row>
    <row r="32" ht="275" customHeight="1">
      <c r="A32" s="8" t="inlineStr">
        <is>
          <t>TC-31</t>
        </is>
      </c>
      <c r="B32" s="9" t="inlineStr">
        <is>
          <t>Final release – request</t>
        </is>
      </c>
      <c r="C32" s="9" t="inlineStr">
        <is>
          <t>Raw Material Manager (RMM); Supplier contacts A (may confirm) and B (may not confirm)</t>
        </is>
      </c>
      <c r="D32" s="8" t="inlineStr">
        <is>
          <t>The last completed review sends one final-release request and locks the questionnaire</t>
        </is>
      </c>
      <c r="E32" s="9" t="inlineStr">
        <is>
          <t>Every department review on the case is completed. RMM's own review is open, with no open RMM point.</t>
        </is>
      </c>
      <c r="F32" s="9" t="inlineStr">
        <is>
          <t>1. As RMM, open the case's review workspace from My reviews. Read the bottom bar.
2. Click “Complete my review”.
3. Open the case page: check the phase, the status strip and History. Open the Dashboard.
4. As contact A, open My requests.
5. Open the request. Scroll through the questionnaire and try to change an answer or upload a file.
6. As contact B, open the request.</t>
        </is>
      </c>
      <c r="G32" s="9" t="inlineStr">
        <is>
          <t>- Step 1: “You are the last open review: completing sends the final-release request to the supplier and locks its questionnaire.”
- Step 3: the phase is “Awaiting final release”, marked “With supplier”; the status strip is at Final release. History shows that all reviews completed and one final-release request went to the supplier. The Dashboard shows “Release pending”: “Waiting for the supplier's final release”.
- Step 4: the task “Give the final release” shows “Beiersdorf has completed its review”. The card shows “Final release needed”, “Step 3 of 3 · all Beiersdorf reviews complete · questionnaire locked” and “Give the final release”.
- Step 5: the card “All Beiersdorf reviews are complete. Please give the final release.” lists Sections in your questionnaire, Documents submitted, Completeness confirmed (name · date), Questions closed (x of y) and Due. The heading reads “Your questionnaire (locked)”; each section shows “Locked: Beiersdorf has requested your final release”. There are no inputs, uploads, “Remove” or justification links.
- Step 6: B sees “&lt;A&gt; can give the final release for your company.”
- No decision, RMES content or internal note is shown to the supplier.</t>
        </is>
      </c>
      <c r="H32" s="9" t="inlineStr">
        <is>
          <t>REQ-PROC-040, REQ-PROC-042, REQ-CTL-002, REQ-CTL-010</t>
        </is>
      </c>
      <c r="I32" s="9" t="inlineStr">
        <is>
          <t>High</t>
        </is>
      </c>
      <c r="J32" s="10" t="inlineStr"/>
      <c r="K32" s="10" t="inlineStr"/>
      <c r="L32" s="10" t="inlineStr"/>
      <c r="M32" s="11" t="inlineStr"/>
    </row>
    <row r="33" ht="150" customHeight="1">
      <c r="A33" s="8" t="inlineStr">
        <is>
          <t>TC-32</t>
        </is>
      </c>
      <c r="B33" s="9" t="inlineStr">
        <is>
          <t>Final release – supplier</t>
        </is>
      </c>
      <c r="C33" s="9" t="inlineStr">
        <is>
          <t>Supplier contact (may confirm); Raw Material Manager (RMM) to check</t>
        </is>
      </c>
      <c r="D33" s="8" t="inlineStr">
        <is>
          <t>The supplier gives the final release</t>
        </is>
      </c>
      <c r="E33" s="9" t="inlineStr">
        <is>
          <t>TC-31 done: the final release is requested and not yet given.</t>
        </is>
      </c>
      <c r="F33" s="9" t="inlineStr">
        <is>
          <t>1. As contact A, click “Give final release” on the release card.
2. In the window “Give the final release”, click “Give final release” without ticking the statement.
3. Tick “I confirm the statement above on behalf of my company.” and click “Give final release”.
4. Check My requests.
5. As RMM, open the case and click Reload.</t>
        </is>
      </c>
      <c r="G33" s="9" t="inlineStr">
        <is>
          <t>- The window shows “The information given in this CIQ and the evidence submitted are correct and complete. The CIQ will be frozen.”, with Released by, E-mail, On behalf of, Time and “After the release no answer or document can be changed.”
- Step 2: the button stays disabled until the box is ticked.
- Step 3: the toast “Final release recorded. The CIQ is now frozen.”
- Step 4: the card is under “Closed” with “Completed”.
- Step 5: the case is “Completed” without any Beiersdorf action, and Confirmations shows the final release with name, role, e-mail and time (details in TC-33).</t>
        </is>
      </c>
      <c r="H33" s="9" t="inlineStr">
        <is>
          <t>REQ-PROC-042, REQ-PROC-043, REQ-PROC-045, REQ-PROC-015</t>
        </is>
      </c>
      <c r="I33" s="9" t="inlineStr">
        <is>
          <t>High</t>
        </is>
      </c>
      <c r="J33" s="10" t="inlineStr"/>
      <c r="K33" s="10" t="inlineStr"/>
      <c r="L33" s="10" t="inlineStr"/>
      <c r="M33" s="11" t="inlineStr"/>
    </row>
    <row r="34" ht="225" customHeight="1">
      <c r="A34" s="8" t="inlineStr">
        <is>
          <t>TC-33</t>
        </is>
      </c>
      <c r="B34" s="9" t="inlineStr">
        <is>
          <t>Final release – completed case</t>
        </is>
      </c>
      <c r="C34" s="9" t="inlineStr">
        <is>
          <t>Raw Material Manager (RMM); department reviewer; Supplier contact (to check)</t>
        </is>
      </c>
      <c r="D34" s="8" t="inlineStr">
        <is>
          <t>After the release the case completes and the final document is created</t>
        </is>
      </c>
      <c r="E34" s="9" t="inlineStr">
        <is>
          <t>TC-32 done: the supplier gave the final release.</t>
        </is>
      </c>
      <c r="F34" s="9" t="inlineStr">
        <is>
          <t>1. As RMM, open the case. Check the phase, the status strip, the green banner and Overview &gt; Confirmations.
2. Click “Open final document” and read all parts.
3. Open Cases &gt; Completed and the Dashboard.
4. As a department reviewer, open the case's workspace from My reviews &gt; Completed.
5. As the supplier, open the released request.
6. Within about 10 minutes of the release (up to 20 minutes, depending on the set-up), check the RMM case owner's mailbox.</t>
        </is>
      </c>
      <c r="G34" s="9" t="inlineStr">
        <is>
          <t>- The phase is “Completed”, with all four steps done.
- The green banner reads “Completed &lt;time&gt;. The final document was created automatically at the supplier's final release and sent to &lt;owner&gt;.”
- Confirmations lists the three kinds separately: Completeness confirmation, Review completion per department, and Final release (Supplier badge, name, role, e-mail, time). None is called a raw-material approval.
- Step 2: “CIQ final document” with the case ID and “Document seal: unchanged”. It contains the released answers by section with the metadata answers, the K2.1 composition, the evidence list with upload dates, every open point round by round, and all confirmations. It shows no RMES content, no Safety or Regulatory decision and no internal note, and cannot be changed.
- Step 3: the case is listed under Completed and is no longer in “My cases”.
- Step 4: the workspace shows that the case is completed and the CIQ is frozen.
- Step 5: the supplier sees “Your released questionnaire”; nothing can be changed.
- Step 6: the RMM case owner receives the e-mail “&lt;case ID&gt;: final document ready” with “&lt;case ID&gt;-final-document.pdf” attached. It has the same content and document seal as the final document (step 2).</t>
        </is>
      </c>
      <c r="H34" s="9" t="inlineStr">
        <is>
          <t>REQ-PROC-042, REQ-PROC-043, REQ-PROC-045, REQ-PROC-046, REQ-PROC-015</t>
        </is>
      </c>
      <c r="I34" s="9" t="inlineStr">
        <is>
          <t>High</t>
        </is>
      </c>
      <c r="J34" s="10" t="inlineStr"/>
      <c r="K34" s="10" t="inlineStr"/>
      <c r="L34" s="10" t="inlineStr"/>
      <c r="M34" s="11" t="inlineStr"/>
    </row>
    <row r="35" ht="200" customHeight="1">
      <c r="A35" s="8" t="inlineStr">
        <is>
          <t>TC-34</t>
        </is>
      </c>
      <c r="B35" s="9" t="inlineStr">
        <is>
          <t>Final release – reopen</t>
        </is>
      </c>
      <c r="C35" s="9" t="inlineStr">
        <is>
          <t>Raw Material Manager (RMM); Supplier contact</t>
        </is>
      </c>
      <c r="D35" s="8" t="inlineStr">
        <is>
          <t>Reopen a review while the final release is requested</t>
        </is>
      </c>
      <c r="E35" s="9" t="inlineStr">
        <is>
          <t>A case is “Awaiting final release”; the supplier has not released yet.</t>
        </is>
      </c>
      <c r="F35" s="9" t="inlineStr">
        <is>
          <t>1. As RMM, open My reviews &gt; Completed and the case's workspace.
2. In the bar “Raw Material Management review completed”, click “Reopen my review” and read the panel.
3. Leave the reason empty, then enter a reason and click “Reopen and withdraw the release request”.
4. Open the case page and History.
5. As the supplier, open My requests and the request. Change an answer.
6. As RMM, look at the change in the workspace and click “Complete my review” again.
7. As the supplier, check the request.</t>
        </is>
      </c>
      <c r="G35" s="9" t="inlineStr">
        <is>
          <t>- Step 2: “The supplier's final-release request is withdrawn, its questionnaire unlocks, and the supplier contacts get an e-mail. The request goes out again once every review has completed.”
- Step 3: the button stays disabled until a reason is entered.
- Step 4: the phase is back to “Review (RMM and departments)”; the RMM review shows “Reopened”. History shows the reason and that the release request was withdrawn.
- Step 5: the release task and card are gone, the status is “Beiersdorf is reviewing”, and answers can be changed again. The reopen reason is not shown.
- Step 6: RMM sees the changed answer marked with name and date. Completing sends one new release request.
- Step 7: a new release task arrives, and the questionnaire is locked again.</t>
        </is>
      </c>
      <c r="H35" s="9" t="inlineStr">
        <is>
          <t>REQ-PROC-016, REQ-PROC-040, REQ-PROC-042, REQ-CTL-009, REQ-CTL-010</t>
        </is>
      </c>
      <c r="I35" s="9" t="inlineStr">
        <is>
          <t>High</t>
        </is>
      </c>
      <c r="J35" s="10" t="inlineStr"/>
      <c r="K35" s="10" t="inlineStr"/>
      <c r="L35" s="10" t="inlineStr"/>
      <c r="M35" s="11" t="inlineStr"/>
    </row>
    <row r="36" ht="250" customHeight="1">
      <c r="A36" s="8" t="inlineStr">
        <is>
          <t>TC-35</t>
        </is>
      </c>
      <c r="B36" s="9" t="inlineStr">
        <is>
          <t>After the release – supplier</t>
        </is>
      </c>
      <c r="C36" s="9" t="inlineStr">
        <is>
          <t>Supplier contact; Raw Material Manager (RMM) to check</t>
        </is>
      </c>
      <c r="D36" s="8" t="inlineStr">
        <is>
          <t>View the released CIQ and report a change</t>
        </is>
      </c>
      <c r="E36" s="9" t="inlineStr">
        <is>
          <t>The request was released and is completed. At least one question was asked and closed during the review.</t>
        </is>
      </c>
      <c r="F36" s="9" t="inlineStr">
        <is>
          <t>1. On My requests, find the request under “Closed” and click “View”.
2. Read the banner, “Your confirmations” and “Questions and answers”. Open one question with “View”.
3. Scroll through the released questionnaire and try to change an answer or upload a file.
4. Click “Report a change” and fill only “What has changed?”.
5. Fill “Why, and from when?”, choose a section in “Section concerned”, and click “Send to Beiersdorf”.
6. As RMM, open the case.</t>
        </is>
      </c>
      <c r="G36" s="9" t="inlineStr">
        <is>
          <t>- The card shows “Completed”, “Released &lt;date&gt;” and “Released and filed by Beiersdorf”.
- The banner reads “Released on &lt;date&gt; by &lt;name&gt;. Beiersdorf has filed the final document.” with “Report a change”.
- “Your confirmations” lists the completeness confirmation and the final release, each with name, role, e-mail and time. No department completion is shown.
- “Questions and answers” lists every question with its full conversation, read-only.
- Step 3: the heading “Your released questionnaire” reads “Frozen with your final release on &lt;date&gt;. Nothing can be changed any more; use “Report a change” if something has changed since.” Every section shows “Frozen with your final release”, with no inputs, uploads or “Remove”.
- Step 4: “Send to Beiersdorf” stays disabled until both required fields are filled.
- Step 5: the toast “Thank you. Beiersdorf has been told and will contact you if a new questionnaire is needed.” The card “Changes you reported” shows name, time and text. The released questionnaire is unchanged.
- Step 6: RMM sees the report on the case (details in TC-36).</t>
        </is>
      </c>
      <c r="H36" s="9" t="inlineStr">
        <is>
          <t>REQ-PROC-042, REQ-PROC-043, REQ-PROC-033, REQ-PROC-015</t>
        </is>
      </c>
      <c r="I36" s="9" t="inlineStr">
        <is>
          <t>Medium</t>
        </is>
      </c>
      <c r="J36" s="10" t="inlineStr"/>
      <c r="K36" s="10" t="inlineStr"/>
      <c r="L36" s="10" t="inlineStr"/>
      <c r="M36" s="11" t="inlineStr"/>
    </row>
    <row r="37" ht="112.5" customHeight="1">
      <c r="A37" s="8" t="inlineStr">
        <is>
          <t>TC-36</t>
        </is>
      </c>
      <c r="B37" s="9" t="inlineStr">
        <is>
          <t>After the release – Beiersdorf</t>
        </is>
      </c>
      <c r="C37" s="9" t="inlineStr">
        <is>
          <t>Raw Material Manager (RMM)</t>
        </is>
      </c>
      <c r="D37" s="8" t="inlineStr">
        <is>
          <t>RMM sees the supplier's change report and starts a follow-up case</t>
        </is>
      </c>
      <c r="E37" s="9" t="inlineStr">
        <is>
          <t>TC-35 done: the supplier reported a change on a completed case.</t>
        </is>
      </c>
      <c r="F37" s="9" t="inlineStr">
        <is>
          <t>1. As RMM, open the completed case and click Reload.
2. On Overview, read the card “Change reported after the release”.
3. Click “Start a new case” and check the pre-filled New case page.
4. Go back to the completed case and open the Final document.</t>
        </is>
      </c>
      <c r="G37" s="9" t="inlineStr">
        <is>
          <t>- The card shows the supplier's text, the reporting contact and the time, with “The released CIQ stays unchanged. A new case asks the supplier for a new questionnaire.”
- Step 3: New case opens with “Follow-up of &lt;case ID&gt;: &lt;contact&gt; reported a change after the release” and the reported text. Supplier, contacts, trade name, INCI, BDF material no. and target markets are pre-filled.
- Step 4: the original case stays Completed; its final document still shows “Document seal: unchanged”.</t>
        </is>
      </c>
      <c r="H37" s="9" t="inlineStr">
        <is>
          <t>REQ-PROC-043</t>
        </is>
      </c>
      <c r="I37" s="9" t="inlineStr">
        <is>
          <t>Medium</t>
        </is>
      </c>
      <c r="J37" s="10" t="inlineStr"/>
      <c r="K37" s="10" t="inlineStr"/>
      <c r="L37" s="10" t="inlineStr"/>
      <c r="M37" s="11" t="inlineStr"/>
    </row>
    <row r="38" ht="250" customHeight="1">
      <c r="A38" s="8" t="inlineStr">
        <is>
          <t>TC-37</t>
        </is>
      </c>
      <c r="B38" s="9" t="inlineStr">
        <is>
          <t>Case cancellation</t>
        </is>
      </c>
      <c r="C38" s="9" t="inlineStr">
        <is>
          <t>Raw Material Manager (RMM); department reviewer; Supplier contact</t>
        </is>
      </c>
      <c r="D38" s="8" t="inlineStr">
        <is>
          <t>Cancel a running case with a justification</t>
        </is>
      </c>
      <c r="E38" s="9" t="inlineStr">
        <is>
          <t>A case in review with open review tasks and one open question for the supplier.</t>
        </is>
      </c>
      <c r="F38" s="9" t="inlineStr">
        <is>
          <t>1. As RMM, open the case and click “Cancel case”. Read the window.
2. Click “Cancel case” without a justification.
3. Pick a suggested reason (e.g. “Raw material no longer relevant”) or type one, and click “Cancel case”.
4. Check the banner, Overview &gt; Reviews and the Open points tab. Open Cases &gt; Cancelled.
5. As a department reviewer, open My reviews and the case's workspace.
6. As the supplier, open My requests. Click “View” on the request and try to edit, upload or answer.</t>
        </is>
      </c>
      <c r="G38" s="9" t="inlineStr">
        <is>
          <t>- Step 1: the window “Cancel &lt;case ID&gt;?” says cancelling ends every open task (the supplier's, the open review tasks and the open points, which are withdrawn), that the supplier contacts get a short notice without the reason, and that data and history are kept.
- Step 2: “A justification is required to cancel the case.”
- Step 4: the banner reads “Cancelled on &lt;date&gt; by &lt;name&gt;” with the justification and “RMM can reactivate it until &lt;date&gt;” (reactivation itself is not available in this version). Unfinished reviews show “Ended (case cancelled)”; open points show “Withdrawn with the case cancellation”. The case is under Cancelled.
- Step 5: the case is gone from To review and Waiting for supplier; the workspace says the case is cancelled and every task on it has ended.
- Step 6: all tasks are gone, including the open question. The card is under “Closed” with “Withdrawn by Beiersdorf”, “Withdrawn &lt;date&gt;” and “No further action needed”. The banner reads “Beiersdorf has withdrawn this request”, and every section shows “Read-only: this request is closed”.
- A completed case has no “Cancel case” button.</t>
        </is>
      </c>
      <c r="H38" s="9" t="inlineStr">
        <is>
          <t>REQ-PROC-049, REQ-CTL-003, REQ-CTL-009, REQ-CTL-010</t>
        </is>
      </c>
      <c r="I38" s="9" t="inlineStr">
        <is>
          <t>High</t>
        </is>
      </c>
      <c r="J38" s="10" t="inlineStr"/>
      <c r="K38" s="10" t="inlineStr"/>
      <c r="L38" s="10" t="inlineStr"/>
      <c r="M38" s="11" t="inlineStr"/>
    </row>
    <row r="39" ht="87.5" customHeight="1">
      <c r="A39" s="8" t="inlineStr">
        <is>
          <t>TC-38</t>
        </is>
      </c>
      <c r="B39" s="9" t="inlineStr">
        <is>
          <t>Case cancellation</t>
        </is>
      </c>
      <c r="C39" s="9" t="inlineStr">
        <is>
          <t>Raw Material Manager (RMM)</t>
        </is>
      </c>
      <c r="D39" s="8" t="inlineStr">
        <is>
          <t>Reactivate a cancelled case (not in this version: only the window is checked)</t>
        </is>
      </c>
      <c r="E39" s="9" t="inlineStr">
        <is>
          <t>A case cancelled less than 12 months ago (TC-37) whose due date has passed.</t>
        </is>
      </c>
      <c r="F39" s="9" t="inlineStr">
        <is>
          <t>1. As RMM, open the cancelled case and click “Reactivate”. Read the window.
2. Empty the pre-filled “New due date” and click “Reactivate case” with no justification.
3. Enter a justification and a new due date, then click “Reactivate case”.</t>
        </is>
      </c>
      <c r="G39" s="9" t="inlineStr">
        <is>
          <t>- Step 1: the window “Reactivate &lt;case ID&gt;?” says the case returns to the phase it stopped at, earlier answers and documents are kept, and open points closed at the cancellation stay closed.
- Step 2: “A justification is required to reactivate the case.” and “The case due date has passed: set a new one.”
- Step 3: the warning “Reactivating a case is not available in this version yet.” The case stays Cancelled.</t>
        </is>
      </c>
      <c r="H39" s="9" t="inlineStr">
        <is>
          <t>REQ-PROC-049</t>
        </is>
      </c>
      <c r="I39" s="9" t="inlineStr">
        <is>
          <t>Medium</t>
        </is>
      </c>
      <c r="J39" s="10" t="inlineStr"/>
      <c r="K39" s="10" t="inlineStr"/>
      <c r="L39" s="10" t="inlineStr"/>
      <c r="M39" s="11" t="inlineStr"/>
    </row>
    <row r="40" ht="137.5" customHeight="1">
      <c r="A40" s="8" t="inlineStr">
        <is>
          <t>TC-39</t>
        </is>
      </c>
      <c r="B40" s="9" t="inlineStr">
        <is>
          <t>Internal notes</t>
        </is>
      </c>
      <c r="C40" s="9" t="inlineStr">
        <is>
          <t>Product Safety reviewer; Quality Management reviewer; Raw Material Manager (RMM); Supplier contact (to check)</t>
        </is>
      </c>
      <c r="D40" s="8" t="inlineStr">
        <is>
          <t>Internal notes between departments are never visible to the supplier</t>
        </is>
      </c>
      <c r="E40" s="9" t="inlineStr">
        <is>
          <t>A case in review with Safety and QM tasks.</t>
        </is>
      </c>
      <c r="F40" s="9" t="inlineStr">
        <is>
          <t>1. As the Safety reviewer, open the review workspace and a section, e.g. K2.2.
2. In “Internal notes”, write a note that mentions a QM colleague with @. Keep “Link to K2.2” ticked and click “Add note”.
3. As the mentioned QM reviewer, open the same case's workspace and the case page &gt; Internal notes.
4. On the Internal notes tab, add a note for “Whole case” with “Add note”.
5. As RMM, open the case page &gt; Internal notes and add a note.
6. As the supplier, open the request and every question.</t>
        </is>
      </c>
      <c r="G40" s="9" t="inlineStr">
        <is>
          <t>- The card reads “Beiersdorf only, never visible to the supplier”.
- Step 2: the note shows author, department, time and a K2.2 link that opens the section.
- Step 3: the mentioned colleague sees “Mentions you” on the note.
- The Internal notes tab shows a count and lists all notes in time order with author and time, the section where one is linked, and “Never visible to the supplier”.
- Step 5: RMM reads all notes and can add notes too.
- Step 6: no note text or note count appears anywhere in the Supplier Portal.</t>
        </is>
      </c>
      <c r="H40" s="9" t="inlineStr">
        <is>
          <t>REQ-PROC-020, REQ-CTL-002, REQ-CFG-004</t>
        </is>
      </c>
      <c r="I40" s="9" t="inlineStr">
        <is>
          <t>High</t>
        </is>
      </c>
      <c r="J40" s="10" t="inlineStr"/>
      <c r="K40" s="10" t="inlineStr"/>
      <c r="L40" s="10" t="inlineStr"/>
      <c r="M40" s="11" t="inlineStr"/>
    </row>
    <row r="41" ht="175" customHeight="1">
      <c r="A41" s="8" t="inlineStr">
        <is>
          <t>TC-40</t>
        </is>
      </c>
      <c r="B41" s="9" t="inlineStr">
        <is>
          <t>Access and data separation</t>
        </is>
      </c>
      <c r="C41" s="9" t="inlineStr">
        <is>
          <t>Supplier contacts of two suppliers; portal user without the supplier role; Business administrator</t>
        </is>
      </c>
      <c r="D41" s="8" t="inlineStr">
        <is>
          <t>Each contact sees only its own requests and never Beiersdorf-internal content</t>
        </is>
      </c>
      <c r="E41" s="9" t="inlineStr">
        <is>
          <t>Supplier X: contact A is named on request R1, contact B only on R2, contact D on no request (open or closed). A, B and C may confirm and release; D can be the contact marked “May not confirm”. Supplier Y: contact C is named on R3. On R1, reviewers wrote internal notes, recorded the Safety and Regulatory decisions with a comment and asked the supplier a question. User E has a portal account without the supplier role.</t>
        </is>
      </c>
      <c r="F41" s="9" t="inlineStr">
        <is>
          <t>1. As A, sign in and note the listed requests (open and Closed).
2. As B, sign in and check My requests (open and Closed): R1 is not listed.
3. As C, sign in and do the same.
4. As A, open R1 and the question from Beiersdorf. Read the Help page.
5. Sign in as E.
6. As the Business administrator, deactivate contact D. Then sign in as D.</t>
        </is>
      </c>
      <c r="G41" s="9" t="inlineStr">
        <is>
          <t>- A sees R1 and only other requests on which A is named.
- B sees R2 but not R1.
- C sees only R3.
- On R1 there are no department names, review statuses or decisions, nothing of the RMES, no internal notes, no internal reasons (closing, reopening, cancelling) and no rule numbers. The question appears as “Question from Beiersdorf”, with its reference, question, justification and due date only.
- E sees “No access to the supplier portal”, asking to contact Beiersdorf for an invitation.
- D sees no request (“No requests yet”). A message that the access has ended is not in this version. Removing D's portal account is done in the portal's user management and is outside this test.</t>
        </is>
      </c>
      <c r="H41" s="9" t="inlineStr">
        <is>
          <t>REQ-CTL-002, REQ-CFG-004, REQ-PROC-004, REQ-PROC-020, REQ-PROC-021, REQ-RMES-015</t>
        </is>
      </c>
      <c r="I41" s="9" t="inlineStr">
        <is>
          <t>High</t>
        </is>
      </c>
      <c r="J41" s="10" t="inlineStr"/>
      <c r="K41" s="10" t="inlineStr"/>
      <c r="L41" s="10" t="inlineStr"/>
      <c r="M41" s="11" t="inlineStr"/>
    </row>
    <row r="42" ht="137.5" customHeight="1">
      <c r="A42" s="8" t="inlineStr">
        <is>
          <t>TC-41</t>
        </is>
      </c>
      <c r="B42" s="9" t="inlineStr">
        <is>
          <t>Due dates and overdue items</t>
        </is>
      </c>
      <c r="C42" s="9" t="inlineStr">
        <is>
          <t>Supplier contact; Raw Material Manager (RMM); department reviewer</t>
        </is>
      </c>
      <c r="D42" s="8" t="inlineStr">
        <is>
          <t>Due dates and overdue items on both sides</t>
        </is>
      </c>
      <c r="E42" s="9" t="inlineStr">
        <is>
          <t>Request R1 is being filled in and is due in 2 days. Request R2 has an open Safety question whose due date has passed.</t>
        </is>
      </c>
      <c r="F42" s="9" t="inlineStr">
        <is>
          <t>1. As the supplier, open My requests and look at the due dates on tasks and cards.
2. Open R1 and look at the header.
3. Let R1's due date pass without confirming completeness. Open My requests and R1 again.
4. As RMM, open the Dashboard and read the tiles and “Needs your action”.
5. As the Safety reviewer, open My reviews.</t>
        </is>
      </c>
      <c r="G42" s="9" t="inlineStr">
        <is>
          <t>- Step 1: every task and card shows “Due &lt;date&gt;”. A card with open questions shows the earliest question due date.
- Step 2: “Due &lt;date&gt; · in 2 days”.
- Step 3: overdue items show “Overdue · &lt;date&gt;” on cards and “overdue by N days” in the header, highlighted and in words.
- Step 4: the tile “Overdue open points” counts R2's question. “Needs your action” shows “Overdue at supplier” for R2 (“1 open point overdue at the supplier”) and for R1 (“The supplier has not confirmed completeness by the due date”).
- Step 5: the alert “1 of your open points is overdue at the supplier”; the case row shows “1 overdue”.</t>
        </is>
      </c>
      <c r="H42" s="9" t="inlineStr">
        <is>
          <t>REQ-ADR-001, REQ-CTL-003, REQ-CTL-006, REQ-CTL-010</t>
        </is>
      </c>
      <c r="I42" s="9" t="inlineStr">
        <is>
          <t>Medium</t>
        </is>
      </c>
      <c r="J42" s="10" t="inlineStr"/>
      <c r="K42" s="10" t="inlineStr"/>
      <c r="L42" s="10" t="inlineStr"/>
      <c r="M42" s="11" t="inlineStr"/>
    </row>
    <row r="43" ht="187.5" customHeight="1">
      <c r="A43" s="8" t="inlineStr">
        <is>
          <t>TC-42</t>
        </is>
      </c>
      <c r="B43" s="9" t="inlineStr">
        <is>
          <t>Overview – Dashboard</t>
        </is>
      </c>
      <c r="C43" s="9" t="inlineStr">
        <is>
          <t>Raw Material Manager (RMM)</t>
        </is>
      </c>
      <c r="D43" s="8" t="inlineStr">
        <is>
          <t>The Dashboard shows what needs RMM's action</t>
        </is>
      </c>
      <c r="E43" s="9" t="inlineStr">
        <is>
          <t>The RMM user owns at least three running cases: one with the supplier, one in review and one waiting for the final release. Another RMM owns at least one case.</t>
        </is>
      </c>
      <c r="F43" s="9" t="inlineStr">
        <is>
          <t>1. Open the Dashboard. Read the header and the four tiles.
2. In “Needs your action”, click each filter chip, then switch between “My cases” and “All owners”.
3. Click the button on one item, e.g. “Open my review” or “Open case”.
4. Go back and click the tile “With supplier”.
5. Read the cards “My cases”, “Recent activity” and “Bottlenecks by review”.</t>
        </is>
      </c>
      <c r="G43" s="9" t="inlineStr">
        <is>
          <t>- The header shows a greeting with the first name, today's date and “You own N open cases; M items need your action.”
- The tiles “My open cases”, “With supplier”, “With Beiersdorf” and “Overdue open points” each show a count.
- “Needs your action” lists the most urgent first, with labels such as “My review”, “Release pending”, “Overdue at supplier” and “Department rejected”. Each chip filters the list; “All owners” adds the other owners' items.
- Step 3: the button opens the review workspace or the case page.
- Step 4: Cases opens filtered to my cases that wait on the supplier.
- “My cases” lists my open cases, nearest due date first. “Bottlenecks by review” is shown while any case is in review.
- With nothing to do, the list shows “Nothing waits on you right now”.</t>
        </is>
      </c>
      <c r="H43" s="9" t="inlineStr">
        <is>
          <t>REQ-CTL-003, REQ-CTL-006, REQ-PROC-036</t>
        </is>
      </c>
      <c r="I43" s="9" t="inlineStr">
        <is>
          <t>Medium</t>
        </is>
      </c>
      <c r="J43" s="10" t="inlineStr"/>
      <c r="K43" s="10" t="inlineStr"/>
      <c r="L43" s="10" t="inlineStr"/>
      <c r="M43" s="11" t="inlineStr"/>
    </row>
    <row r="44" ht="187.5" customHeight="1">
      <c r="A44" s="8" t="inlineStr">
        <is>
          <t>TC-43</t>
        </is>
      </c>
      <c r="B44" s="9" t="inlineStr">
        <is>
          <t>Overview – Cases register</t>
        </is>
      </c>
      <c r="C44" s="9" t="inlineStr">
        <is>
          <t>Raw Material Manager (RMM); department reviewer</t>
        </is>
      </c>
      <c r="D44" s="8" t="inlineStr">
        <is>
          <t>Cases register: tabs, search and filters across all cases</t>
        </is>
      </c>
      <c r="E44" s="9" t="inlineStr">
        <is>
          <t>Cases exist in each state: supplier filling in, in review, awaiting final release, completed and cancelled. At least two suppliers and two RMM owners are involved.</t>
        </is>
      </c>
      <c r="F44" s="9" t="inlineStr">
        <is>
          <t>1. Open Cases and click the tabs Open, Part 1, Part 2, Completed and Cancelled.
2. On Open, search by a supplier's DUNS number, then by a main INCI, then by a BDF material no.
3. Use the filters Supplier, Department involved, Waiting on, Origin and Owner, then switch on “Overdue only”. Click “Clear”.
4. Click a case row.
5. As a department reviewer with a task on one case, open Cases and click that case's row.</t>
        </is>
      </c>
      <c r="G44" s="9" t="inlineStr">
        <is>
          <t>- Each tab shows its count and a one-line explanation, e.g. Part 2: “RMM and the departments review, then the supplier gives the final release.”
- Step 2: the search finds the case by DUNS number, INCI or BDF material no.
- Step 3: each filter narrows the rows. Without a match: “No cases match these filters” with “Clear filters”. “Clear” removes all filters.
- The columns are Case, Supplier, Phase · waiting on, Reviews (RMM + departments), Open points, Due and Owner. The review chips show each department's status by icon and text, with a legend below. The footer reads “Showing X of Y cases”.
- Step 4: RMM's click opens the case page.
- Step 5: the subtitle reads “Every CIQ case, read-only. Rows where your department has a review task open your review.” The click opens the review workspace. The reviewer has no “New case” button.</t>
        </is>
      </c>
      <c r="H44" s="9" t="inlineStr">
        <is>
          <t>REQ-PROC-006, REQ-PROC-036, REQ-CTL-006</t>
        </is>
      </c>
      <c r="I44" s="9" t="inlineStr">
        <is>
          <t>Medium</t>
        </is>
      </c>
      <c r="J44" s="10" t="inlineStr"/>
      <c r="K44" s="10" t="inlineStr"/>
      <c r="L44" s="10" t="inlineStr"/>
      <c r="M44" s="11" t="inlineStr"/>
    </row>
    <row r="45" ht="175" customHeight="1">
      <c r="A45" s="8" t="inlineStr">
        <is>
          <t>TC-44</t>
        </is>
      </c>
      <c r="B45" s="9" t="inlineStr">
        <is>
          <t>Administration – configuration</t>
        </is>
      </c>
      <c r="C45" s="9" t="inlineStr">
        <is>
          <t>Business administrator</t>
        </is>
      </c>
      <c r="D45" s="8" t="inlineStr">
        <is>
          <t>Review the questionnaire, rules and section owners that cases use</t>
        </is>
      </c>
      <c r="E45" s="9" t="inlineStr">
        <is>
          <t>A Business administrator user holding only that role. At least one running case.</t>
        </is>
      </c>
      <c r="F45" s="9" t="inlineStr">
        <is>
          <t>1. Open Rules and read the banner on top, the version panel and the list of rules.
2. Open “Test rules” &gt; “Try one material”. Set the origin to Vegetable.
3. Open Questionnaire and click All, Chapters, Annexes and With questions.
4. Open Section owners and find K2.2.
5. Open a running case from Cases and compare Overview &gt; Case facts.</t>
        </is>
      </c>
      <c r="G45" s="9" t="inlineStr">
        <is>
          <t>- The banner reads “Configuration changes are not live in this version. The configuration shown is the one cases use.”
- Rules shows the published version with its date and change note. Each rule is written as a sentence tied to its metadata question and the sections it switches on.
- Step 2: “Derived scope” lists A1 Vegetable origin, A2 Manufacturing process and A9 Polyaromatic hydrocarbons (PAH) as mandatory; “Evidence the supplier must upload” lists “Pesticide and mycotoxin analysis” and “Sustainability certificates” (R-10) besides the documents every case needs; “Who reviews” names RMM and the lead departments. Nothing is saved.
- Step 3: Questionnaire lists the chapters and annexes of the version, each with its lead department.
- Step 4: K2.2 is led by Safety with QM as co-reviewer. Customs and Legal are shown as informed, not reviewing.
- Step 5: the case shows the questionnaire and rule-set versions it started with.</t>
        </is>
      </c>
      <c r="H45" s="9" t="inlineStr">
        <is>
          <t>REQ-CFG-001, REQ-CFG-003, REQ-CFG-006, REQ-PROC-009, REQ-PROC-010</t>
        </is>
      </c>
      <c r="I45" s="9" t="inlineStr">
        <is>
          <t>Medium</t>
        </is>
      </c>
      <c r="J45" s="10" t="inlineStr"/>
      <c r="K45" s="10" t="inlineStr"/>
      <c r="L45" s="10" t="inlineStr"/>
      <c r="M45" s="11" t="inlineStr"/>
    </row>
  </sheetData>
  <autoFilter ref="A1:M45"/>
  <dataValidations count="2">
    <dataValidation sqref="J2:J45" showDropDown="0" showInputMessage="0" showErrorMessage="1" allowBlank="1" errorTitle="Result" error="Choose Pass, Fail, Blocked or Not tested." type="list" errorStyle="stop">
      <formula1>"Pass,Fail,Blocked,Not tested"</formula1>
    </dataValidation>
    <dataValidation sqref="M2:M45" showDropDown="0" showInputMessage="0" showErrorMessage="1" allowBlank="1" error="Enter a date, e.g. 2026-10-23." type="date" errorStyle="stop" operator="greaterThan">
      <formula1>DATE(2026,1,1)</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22" customWidth="1" min="1" max="1"/>
    <col width="10" customWidth="1" min="2" max="2"/>
    <col width="14" customWidth="1" min="3" max="3"/>
    <col width="16" customWidth="1" min="4" max="4"/>
    <col width="14" customWidth="1" min="5" max="5"/>
  </cols>
  <sheetData>
    <row r="1">
      <c r="A1" s="12" t="inlineStr">
        <is>
          <t>Test results summary</t>
        </is>
      </c>
    </row>
    <row r="3">
      <c r="A3" s="5" t="inlineStr">
        <is>
          <t>Result</t>
        </is>
      </c>
      <c r="B3" s="5" t="inlineStr">
        <is>
          <t>All</t>
        </is>
      </c>
      <c r="C3" s="5" t="inlineStr">
        <is>
          <t>High priority</t>
        </is>
      </c>
      <c r="D3" s="5" t="inlineStr">
        <is>
          <t>Medium priority</t>
        </is>
      </c>
      <c r="E3" s="5" t="inlineStr">
        <is>
          <t>Low priority</t>
        </is>
      </c>
    </row>
    <row r="4">
      <c r="A4" s="13" t="inlineStr">
        <is>
          <t>Pass</t>
        </is>
      </c>
      <c r="B4" s="14">
        <f>COUNTIF('Test cases'!$J$2:$J$45,"Pass")</f>
        <v/>
      </c>
      <c r="C4" s="14">
        <f>COUNTIFS('Test cases'!$J$2:$J$45,"Pass",'Test cases'!$I$2:$I$45,"High")</f>
        <v/>
      </c>
      <c r="D4" s="14">
        <f>COUNTIFS('Test cases'!$J$2:$J$45,"Pass",'Test cases'!$I$2:$I$45,"Medium")</f>
        <v/>
      </c>
      <c r="E4" s="14">
        <f>COUNTIFS('Test cases'!$J$2:$J$45,"Pass",'Test cases'!$I$2:$I$45,"Low")</f>
        <v/>
      </c>
    </row>
    <row r="5">
      <c r="A5" s="13" t="inlineStr">
        <is>
          <t>Fail</t>
        </is>
      </c>
      <c r="B5" s="14">
        <f>COUNTIF('Test cases'!$J$2:$J$45,"Fail")</f>
        <v/>
      </c>
      <c r="C5" s="14">
        <f>COUNTIFS('Test cases'!$J$2:$J$45,"Fail",'Test cases'!$I$2:$I$45,"High")</f>
        <v/>
      </c>
      <c r="D5" s="14">
        <f>COUNTIFS('Test cases'!$J$2:$J$45,"Fail",'Test cases'!$I$2:$I$45,"Medium")</f>
        <v/>
      </c>
      <c r="E5" s="14">
        <f>COUNTIFS('Test cases'!$J$2:$J$45,"Fail",'Test cases'!$I$2:$I$45,"Low")</f>
        <v/>
      </c>
    </row>
    <row r="6">
      <c r="A6" s="13" t="inlineStr">
        <is>
          <t>Blocked</t>
        </is>
      </c>
      <c r="B6" s="14">
        <f>COUNTIF('Test cases'!$J$2:$J$45,"Blocked")</f>
        <v/>
      </c>
      <c r="C6" s="14">
        <f>COUNTIFS('Test cases'!$J$2:$J$45,"Blocked",'Test cases'!$I$2:$I$45,"High")</f>
        <v/>
      </c>
      <c r="D6" s="14">
        <f>COUNTIFS('Test cases'!$J$2:$J$45,"Blocked",'Test cases'!$I$2:$I$45,"Medium")</f>
        <v/>
      </c>
      <c r="E6" s="14">
        <f>COUNTIFS('Test cases'!$J$2:$J$45,"Blocked",'Test cases'!$I$2:$I$45,"Low")</f>
        <v/>
      </c>
    </row>
    <row r="7">
      <c r="A7" s="13" t="inlineStr">
        <is>
          <t>Not tested</t>
        </is>
      </c>
      <c r="B7" s="14">
        <f>COUNTIF('Test cases'!$J$2:$J$45,"Not tested")+COUNTBLANK('Test cases'!$J$2:$J$45)</f>
        <v/>
      </c>
      <c r="C7" s="14">
        <f>COUNTIFS('Test cases'!$J$2:$J$45,"Not tested",'Test cases'!$I$2:$I$45,"High")+COUNTIFS('Test cases'!$J$2:$J$45,"",'Test cases'!$I$2:$I$45,"High")</f>
        <v/>
      </c>
      <c r="D7" s="14">
        <f>COUNTIFS('Test cases'!$J$2:$J$45,"Not tested",'Test cases'!$I$2:$I$45,"Medium")+COUNTIFS('Test cases'!$J$2:$J$45,"",'Test cases'!$I$2:$I$45,"Medium")</f>
        <v/>
      </c>
      <c r="E7" s="14">
        <f>COUNTIFS('Test cases'!$J$2:$J$45,"Not tested",'Test cases'!$I$2:$I$45,"Low")+COUNTIFS('Test cases'!$J$2:$J$45,"",'Test cases'!$I$2:$I$45,"Low")</f>
        <v/>
      </c>
    </row>
    <row r="8">
      <c r="A8" s="13" t="inlineStr">
        <is>
          <t>Total test cases</t>
        </is>
      </c>
      <c r="B8" s="14">
        <f>COUNTA('Test cases'!$A$2:$A$45)</f>
        <v/>
      </c>
      <c r="C8" s="14">
        <f>COUNTIF('Test cases'!$I$2:$I$45,"High")</f>
        <v/>
      </c>
      <c r="D8" s="14">
        <f>COUNTIF('Test cases'!$I$2:$I$45,"Medium")</f>
        <v/>
      </c>
      <c r="E8" s="14">
        <f>COUNTIF('Test cases'!$I$2:$I$45,"Low")</f>
        <v/>
      </c>
    </row>
    <row r="9">
      <c r="A9" s="15" t="n"/>
      <c r="B9" s="15" t="n"/>
      <c r="C9" s="15" t="n"/>
      <c r="D9" s="15" t="n"/>
      <c r="E9" s="15" t="n"/>
    </row>
    <row r="10">
      <c r="A10" s="13" t="inlineStr">
        <is>
          <t>Tested so far</t>
        </is>
      </c>
      <c r="B10" s="16">
        <f>IF(B8=0,0,(B4+B5+B6)/B8)</f>
        <v/>
      </c>
      <c r="C10" s="15" t="n"/>
      <c r="D10" s="15" t="n"/>
      <c r="E10" s="15" t="n"/>
    </row>
    <row r="11">
      <c r="A11" s="13" t="inlineStr">
        <is>
          <t>Passed of tested</t>
        </is>
      </c>
      <c r="B11" s="16">
        <f>IF((B4+B5+B6)=0,0,B4/(B4+B5+B6))</f>
        <v/>
      </c>
      <c r="C11" s="15" t="n"/>
      <c r="D11" s="15" t="n"/>
      <c r="E11" s="15" t="n"/>
    </row>
    <row r="13">
      <c r="A13" s="17" t="inlineStr">
        <is>
          <t>Counts update automatically from the Result column of “Test cases”. A blank Result counts as Not tested.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2026-10-21T10:22:10Z</dcterms:created>
  <dcterms:modified xmlns:dcterms="http://purl.org/dc/terms/" xmlns:xsi="http://www.w3.org/2001/XMLSchema-instance" xsi:type="dcterms:W3CDTF">2026-10-28T18:38:08Z</dcterms:modified>
</cp:coreProperties>
</file>
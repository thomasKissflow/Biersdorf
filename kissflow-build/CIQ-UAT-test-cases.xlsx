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cases" sheetId="2" state="visible" r:id="rId2"/>
    <sheet xmlns:r="http://schemas.openxmlformats.org/officeDocument/2006/relationships" name="Summary" sheetId="3" state="visible" r:id="rId3"/>
  </sheets>
  <definedNames>
    <definedName name="_xlnm._FilterDatabase" localSheetId="1" hidden="1">'Test cases'!$A$1:$M$32</definedName>
    <definedName name="_xlnm.Print_Titles" localSheetId="1">'Test cases'!$1:$1</definedName>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Arial"/>
      <b val="1"/>
      <color rgb="001F3864"/>
      <sz val="16"/>
    </font>
    <font>
      <name val="Arial"/>
      <color rgb="00595959"/>
      <sz val="11"/>
    </font>
    <font>
      <name val="Arial"/>
      <sz val="10"/>
    </font>
    <font>
      <name val="Arial"/>
      <b val="1"/>
      <color rgb="001F3864"/>
      <sz val="11"/>
    </font>
    <font>
      <name val="Arial"/>
      <b val="1"/>
      <color rgb="00FFFFFF"/>
      <sz val="10"/>
    </font>
    <font>
      <name val="Arial"/>
      <i val="1"/>
      <sz val="10"/>
    </font>
    <font>
      <name val="Arial"/>
      <b val="1"/>
      <sz val="9"/>
    </font>
    <font>
      <name val="Arial"/>
      <sz val="9"/>
    </font>
    <font>
      <name val="Arial"/>
      <b val="1"/>
      <color rgb="001F3864"/>
      <sz val="14"/>
    </font>
    <font>
      <name val="Arial"/>
      <b val="1"/>
      <sz val="10"/>
    </font>
    <font>
      <name val="Arial"/>
      <i val="1"/>
      <color rgb="00595959"/>
      <sz val="9"/>
    </font>
  </fonts>
  <fills count="4">
    <fill>
      <patternFill/>
    </fill>
    <fill>
      <patternFill patternType="gray125"/>
    </fill>
    <fill>
      <patternFill patternType="solid">
        <fgColor rgb="001F386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6" fillId="3" borderId="1" applyAlignment="1" pivotButton="0" quotePrefix="0" xfId="0">
      <alignment vertical="top" wrapText="1"/>
    </xf>
    <xf numFmtId="0" fontId="5" fillId="2" borderId="1" applyAlignment="1" pivotButton="0" quotePrefix="0" xfId="0">
      <alignment vertical="center" wrapText="1"/>
    </xf>
    <xf numFmtId="0" fontId="7" fillId="0" borderId="1" applyAlignment="1" pivotButton="0" quotePrefix="0" xfId="0">
      <alignment vertical="top" wrapText="1"/>
    </xf>
    <xf numFmtId="0" fontId="8" fillId="0" borderId="1" applyAlignment="1" pivotButton="0" quotePrefix="0" xfId="0">
      <alignment vertical="top" wrapText="1"/>
    </xf>
    <xf numFmtId="0" fontId="8" fillId="3" borderId="1" applyAlignment="1" pivotButton="0" quotePrefix="0" xfId="0">
      <alignment vertical="top" wrapText="1"/>
    </xf>
    <xf numFmtId="164" fontId="8" fillId="3" borderId="1" applyAlignment="1" pivotButton="0" quotePrefix="0" xfId="0">
      <alignment vertical="top" wrapText="1"/>
    </xf>
    <xf numFmtId="0" fontId="9" fillId="0" borderId="0" pivotButton="0" quotePrefix="0" xfId="0"/>
    <xf numFmtId="0" fontId="10" fillId="0" borderId="1" pivotButton="0" quotePrefix="0" xfId="0"/>
    <xf numFmtId="0" fontId="3" fillId="0" borderId="1" pivotButton="0" quotePrefix="0" xfId="0"/>
    <xf numFmtId="0" fontId="3" fillId="0" borderId="0" pivotButton="0" quotePrefix="0" xfId="0"/>
    <xf numFmtId="9" fontId="3" fillId="0" borderId="1"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6" customWidth="1" min="1" max="1"/>
    <col width="14" customWidth="1" min="2" max="2"/>
    <col width="60" customWidth="1" min="3" max="3"/>
    <col width="20" customWidth="1" min="4" max="4"/>
    <col width="14" customWidth="1" min="5" max="5"/>
    <col width="4" customWidth="1" min="6" max="6"/>
  </cols>
  <sheetData>
    <row r="1">
      <c r="A1" s="1" t="inlineStr">
        <is>
          <t>CIQ Digital – user acceptance test cases</t>
        </is>
      </c>
    </row>
    <row r="2">
      <c r="A2" s="2" t="inlineStr">
        <is>
          <t>Internal app (Beiersdorf roles) and Supplier Portal (supplier contacts)</t>
        </is>
      </c>
    </row>
    <row r="3">
      <c r="A3" s="3" t="inlineStr"/>
    </row>
    <row r="4">
      <c r="A4" s="4" t="inlineStr">
        <is>
          <t>What this is</t>
        </is>
      </c>
    </row>
    <row r="5" ht="43.5" customHeight="1">
      <c r="A5" s="3" t="inlineStr">
        <is>
          <t>Each row on the sheet “Test cases” is one test: who performs it, what must be in place first, the steps, and what you should see. Some tests have two sides: one person acts (for example the supplier answers a question) and another checks the result. Always work in the CIQ Digital app or the Supplier Portal. The only e-mail to check is the final document (TC-23).</t>
        </is>
      </c>
    </row>
    <row r="6">
      <c r="A6" s="3" t="inlineStr"/>
    </row>
    <row r="7">
      <c r="A7" s="4" t="inlineStr">
        <is>
          <t>How to record your results</t>
        </is>
      </c>
    </row>
    <row r="8" ht="30" customHeight="1">
      <c r="A8" s="3" t="inlineStr">
        <is>
          <t>1. Work through the tests in order: later tests build on the cases created in earlier ones. Exceptions: do TC-01 steps 7–8 and TC-03 steps 6–7 after TC-04, which creates the first case, and TC-19 step 7 after TC-22.</t>
        </is>
      </c>
    </row>
    <row r="9" ht="16.5" customHeight="1">
      <c r="A9" s="3" t="inlineStr">
        <is>
          <t>2. Fill in only the yellow columns: Result, Comments / findings, Tested by and Date tested.</t>
        </is>
      </c>
    </row>
    <row r="10" ht="30" customHeight="1">
      <c r="A10" s="3" t="inlineStr">
        <is>
          <t>3. Result: choose Pass (everything as expected), Fail (something differs from the expected result), Blocked (the test could not be done, e.g. a previous step failed or access is missing) or Not tested.</t>
        </is>
      </c>
    </row>
    <row r="11" ht="16.5" customHeight="1">
      <c r="A11" s="3" t="inlineStr">
        <is>
          <t>4. Comments / findings: for Fail or Blocked, write what you did, what you saw and what you expected; add the case ID or screenshot name.</t>
        </is>
      </c>
    </row>
    <row r="12" ht="16.5" customHeight="1">
      <c r="A12" s="3" t="inlineStr">
        <is>
          <t>5. The sheet “Summary” counts the results automatically.</t>
        </is>
      </c>
    </row>
    <row r="13">
      <c r="A13" s="3" t="inlineStr"/>
    </row>
    <row r="14">
      <c r="A14" s="4" t="inlineStr">
        <is>
          <t>Who tests</t>
        </is>
      </c>
    </row>
    <row r="15" ht="43.5" customHeight="1">
      <c r="A15" s="3" t="inlineStr">
        <is>
          <t>Beiersdorf: Raw Material Manager (RMM), the department reviewers (Regulatory Affairs, Product Safety, Quality Management, Microbiology, Sustainability) and the Business administrator, with one test user per role, each holding only that role (a user with several CIQ roles works in only one of them). Add a second RMM user (TC-30) and a second Quality Management user (TC-13).</t>
        </is>
      </c>
    </row>
    <row r="16" ht="43.5" customHeight="1">
      <c r="A16" s="3" t="inlineStr">
        <is>
          <t>Supplier side: supplier A with at least three contacts with Supplier Portal access (at least two may confirm and release, one marked “May not confirm”); supplier Y with one contact who may confirm and release (TC-01, TC-28); the inactive supplier C (TC-01); and one portal account without the Supplier role (TC-28). Use test materials and test data only.</t>
        </is>
      </c>
    </row>
    <row r="17">
      <c r="A17" s="3" t="n"/>
    </row>
    <row r="18">
      <c r="A18" s="4" t="inlineStr">
        <is>
          <t>Suppliers and contacts</t>
        </is>
      </c>
    </row>
    <row r="19" ht="43.5" customHeight="1">
      <c r="A19" s="3" t="inlineStr">
        <is>
          <t>A new supplier or contact cannot be added in the MVP: each supplier contact needs a Supplier Portal user licence, so the development team sets up the test suppliers and contacts before the tests. The Business administrator can deactivate and reactivate existing suppliers and contacts at any time; a supplier or contact named on an open case stays active until that case is completed or cancelled (TC-01).</t>
        </is>
      </c>
    </row>
    <row r="20">
      <c r="A20" s="3" t="n"/>
    </row>
    <row r="21">
      <c r="A21" s="4" t="inlineStr">
        <is>
          <t>Example of a filled-in row (format only)</t>
        </is>
      </c>
    </row>
    <row r="22">
      <c r="A22" s="5" t="inlineStr">
        <is>
          <t>Test case ID</t>
        </is>
      </c>
      <c r="B22" s="5" t="inlineStr">
        <is>
          <t>Result</t>
        </is>
      </c>
      <c r="C22" s="5" t="inlineStr">
        <is>
          <t>Comments / findings</t>
        </is>
      </c>
      <c r="D22" s="5" t="inlineStr">
        <is>
          <t>Tested by</t>
        </is>
      </c>
      <c r="E22" s="5" t="inlineStr">
        <is>
          <t>Date tested</t>
        </is>
      </c>
    </row>
    <row r="23" ht="45" customHeight="1">
      <c r="A23" s="6" t="inlineStr">
        <is>
          <t>TC-04</t>
        </is>
      </c>
      <c r="B23" s="6" t="inlineStr">
        <is>
          <t>Fail</t>
        </is>
      </c>
      <c r="C23" s="6" t="inlineStr">
        <is>
          <t>Step 7: the request showed the trade name, but the due date was 30 days instead of 60. Screenshot TC-04-a.</t>
        </is>
      </c>
      <c r="D23" s="6" t="inlineStr">
        <is>
          <t>A. Example (RMM)</t>
        </is>
      </c>
      <c r="E23" s="6" t="inlineStr">
        <is>
          <t>2026-10-23</t>
        </is>
      </c>
    </row>
  </sheetData>
  <mergeCells count="21">
    <mergeCell ref="A16:F16"/>
    <mergeCell ref="A12:F12"/>
    <mergeCell ref="A18:F18"/>
    <mergeCell ref="A3:F3"/>
    <mergeCell ref="A21:F21"/>
    <mergeCell ref="A2:F2"/>
    <mergeCell ref="A14:F14"/>
    <mergeCell ref="A5:F5"/>
    <mergeCell ref="A8:F8"/>
    <mergeCell ref="A17:F17"/>
    <mergeCell ref="A4:F4"/>
    <mergeCell ref="A20:F20"/>
    <mergeCell ref="A10:F10"/>
    <mergeCell ref="A13:F13"/>
    <mergeCell ref="A19:F19"/>
    <mergeCell ref="A9:F9"/>
    <mergeCell ref="A15:F15"/>
    <mergeCell ref="A11:F11"/>
    <mergeCell ref="A1:F1"/>
    <mergeCell ref="A6:F6"/>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M3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22" customWidth="1" min="3" max="3"/>
    <col width="30" customWidth="1" min="4" max="4"/>
    <col width="30" customWidth="1" min="5" max="5"/>
    <col width="60" customWidth="1" min="6" max="6"/>
    <col width="60" customWidth="1" min="7" max="7"/>
    <col width="14" customWidth="1" min="8" max="8"/>
    <col width="9" customWidth="1" min="9" max="9"/>
    <col width="11" customWidth="1" min="10" max="10"/>
    <col width="40" customWidth="1" min="11" max="11"/>
    <col width="16" customWidth="1" min="12" max="12"/>
    <col width="12" customWidth="1" min="13" max="13"/>
  </cols>
  <sheetData>
    <row r="1" ht="30" customHeight="1">
      <c r="A1" s="7" t="inlineStr">
        <is>
          <t>ID</t>
        </is>
      </c>
      <c r="B1" s="7" t="inlineStr">
        <is>
          <t>Area</t>
        </is>
      </c>
      <c r="C1" s="7" t="inlineStr">
        <is>
          <t>Who tests</t>
        </is>
      </c>
      <c r="D1" s="7" t="inlineStr">
        <is>
          <t>Test case</t>
        </is>
      </c>
      <c r="E1" s="7" t="inlineStr">
        <is>
          <t>Before you start</t>
        </is>
      </c>
      <c r="F1" s="7" t="inlineStr">
        <is>
          <t>Steps</t>
        </is>
      </c>
      <c r="G1" s="7" t="inlineStr">
        <is>
          <t>Expected result</t>
        </is>
      </c>
      <c r="H1" s="7" t="inlineStr">
        <is>
          <t>Requirement</t>
        </is>
      </c>
      <c r="I1" s="7" t="inlineStr">
        <is>
          <t>Priority</t>
        </is>
      </c>
      <c r="J1" s="7" t="inlineStr">
        <is>
          <t>Result</t>
        </is>
      </c>
      <c r="K1" s="7" t="inlineStr">
        <is>
          <t>Comments / findings</t>
        </is>
      </c>
      <c r="L1" s="7" t="inlineStr">
        <is>
          <t>Tested by</t>
        </is>
      </c>
      <c r="M1" s="7" t="inlineStr">
        <is>
          <t>Date tested</t>
        </is>
      </c>
    </row>
    <row r="2" ht="179.6" customHeight="1">
      <c r="A2" s="8" t="inlineStr">
        <is>
          <t>TC-01</t>
        </is>
      </c>
      <c r="B2" s="9" t="inlineStr">
        <is>
          <t>Setup – supplier master data</t>
        </is>
      </c>
      <c r="C2" s="9" t="inlineStr">
        <is>
          <t>Business administrator; Raw Material Manager (RMM) to check</t>
        </is>
      </c>
      <c r="D2" s="8" t="inlineStr">
        <is>
          <t>Deactivate and reactivate existing suppliers and contacts; RMM sees them read-only</t>
        </is>
      </c>
      <c r="E2" s="9" t="inlineStr">
        <is>
          <t>A new supplier or contact cannot be added in the MVP (each supplier contact needs a Supplier Portal user licence and is set up by the development team), so do not use “Add supplier” or “Add contact”. Needed: supplier A (active, three or more contacts), supplier Y (one active contact), supplier C (inactive). Do steps 7–8 after TC-04.</t>
        </is>
      </c>
      <c r="F2" s="9" t="inlineStr">
        <is>
          <t>1. As the Business administrator, open Suppliers and then supplier A.
2. Click “Deactivate” on one of its contacts, read the window and click “Deactivate contact”. Then click “Reactivate” on that contact.
3. Open supplier Y and click “Deactivate” on its only active contact.
4. Open supplier C, click “Reactivate supplier” and confirm.
5. As RMM, click “New case” and look for supplier C. Then, as the Business administrator, deactivate supplier C again; as RMM, look for it in New case again.
6. As RMM, open Suppliers and supplier A.
7. (After TC-04.) As the Business administrator, click “Deactivate supplier” on supplier A, which now has an open case.
8. (After TC-04.) Click “Deactivate” on a contact named on that case.</t>
        </is>
      </c>
      <c r="G2" s="9" t="inlineStr">
        <is>
          <t>- Step 2: the window says the contact keeps its history and is never deleted. The contact shows “Inactive since &lt;date&gt;”, then Active again; the supplier's history lists both changes.
- Step 3: “&lt;name&gt; is the last active contact of this supplier. Add another contact first.” “Deactivate contact” is disabled.
- Steps 4–5: supplier C shows Active and can be chosen in New case. Deactivated again, it shows Inactive and is no longer offered.
- Step 6: RMM sees the list and the page with “Maintained by the business administrator.” and no Add, Edit, Deactivate or Reactivate.
- Step 7: refused: the window names the open case and asks to cancel or complete it first.
- Step 8: the window says the contact cannot be deactivated while it is named on an open case.</t>
        </is>
      </c>
      <c r="H2" s="9" t="inlineStr">
        <is>
          <t>REQ-PROC-001, REQ-CFG-004</t>
        </is>
      </c>
      <c r="I2" s="9" t="inlineStr">
        <is>
          <t>High</t>
        </is>
      </c>
      <c r="J2" s="10" t="inlineStr"/>
      <c r="K2" s="10" t="inlineStr"/>
      <c r="L2" s="10" t="inlineStr"/>
      <c r="M2" s="11" t="inlineStr"/>
    </row>
    <row r="3" ht="258.8" customHeight="1">
      <c r="A3" s="8" t="inlineStr">
        <is>
          <t>TC-02</t>
        </is>
      </c>
      <c r="B3" s="9" t="inlineStr">
        <is>
          <t>Setup – sign-in and menus</t>
        </is>
      </c>
      <c r="C3" s="9" t="inlineStr">
        <is>
          <t>Raw Material Manager (RMM); department reviewers (Regulatory Affairs, Product Safety, Quality Management, Microbiology, Sustainability); Business administrator</t>
        </is>
      </c>
      <c r="D3" s="8" t="inlineStr">
        <is>
          <t>Each Beiersdorf role opens on its own start page, sees its own menu and reads the configuration read-only</t>
        </is>
      </c>
      <c r="E3" s="9" t="inlineStr">
        <is>
          <t>One test user per role, each holding only that role.</t>
        </is>
      </c>
      <c r="F3" s="9" t="inlineStr">
        <is>
          <t>1. Sign in as RMM and open the CIQ Digital app. Check the left menu.
2. Collapse the left menu, expand it again, and click Reload at its bottom.
3. Sign in as each of the five department reviewers in turn and open the app.
4. Sign in as the Business administrator and open the app.
5. As RMM and as one department reviewer, open Rules, Questionnaire and Section owners. On Questionnaire, click the filters All, Chapters, Annexes and With questions.</t>
        </is>
      </c>
      <c r="G3" s="9" t="inlineStr">
        <is>
          <t>- Step 1: RMM opens on the Dashboard. The menu shows Dashboard, My reviews, Cases, Suppliers, Rules, Questionnaire and Section owners. With no case yet, the Dashboard shows “Start your first CIQ case” with “New case”.
- Step 2: the menu bottom shows “Updated hh:mm”, Reload and the night-mode switch. The menu collapses to icons and expands again; Reload updates the time.
- Step 3: each reviewer opens on “My reviews” with the department name above the title. The menu shows My reviews, Cases, Rules, Questionnaire and Section owners. Without a task: “No review tasks yet”. Only the Safety and Regulatory pages mention their decision and the RMES tab.
- Step 4: the Business administrator opens on Rules. The menu shows Rules, Questionnaire, Section owners and Suppliers; there is no Dashboard, My reviews or New case.
- Step 5: each page shows “Read-only. Only the business administrator changes …”, with no edit buttons and no “Test rules”. Questionnaire lists the chapters and annexes, each with its lead department; each filter narrows the list.</t>
        </is>
      </c>
      <c r="H3" s="9" t="inlineStr">
        <is>
          <t>REQ-CFG-004, REQ-CTL-002, REQ-CTL-006</t>
        </is>
      </c>
      <c r="I3" s="9" t="inlineStr">
        <is>
          <t>High</t>
        </is>
      </c>
      <c r="J3" s="10" t="inlineStr"/>
      <c r="K3" s="10" t="inlineStr"/>
      <c r="L3" s="10" t="inlineStr"/>
      <c r="M3" s="11" t="inlineStr"/>
    </row>
    <row r="4" ht="219.2" customHeight="1">
      <c r="A4" s="8" t="inlineStr">
        <is>
          <t>TC-03</t>
        </is>
      </c>
      <c r="B4" s="9" t="inlineStr">
        <is>
          <t>Case start</t>
        </is>
      </c>
      <c r="C4" s="9" t="inlineStr">
        <is>
          <t>Raw Material Manager (RMM)</t>
        </is>
      </c>
      <c r="D4" s="8" t="inlineStr">
        <is>
          <t>New case: required data, contact rules and duplicate warning</t>
        </is>
      </c>
      <c r="E4" s="9" t="inlineStr">
        <is>
          <t>Supplier A has three active contacts, one marked “May not confirm”. Do steps 6–7 after TC-04 (an open case for supplier A).</t>
        </is>
      </c>
      <c r="F4" s="9" t="inlineStr">
        <is>
          <t>1. On the Dashboard, click “New case”. Without entering anything, click “Create case and invite supplier”.
2. Select supplier A. Try to tick a third case contact.
3. Untick all contacts.
4. Tick only the contact marked “May not confirm”.
5. Untick every target market.
6. (After TC-04.) Select supplier A and enter the BDF material no. of its open case.
7. Click “Create case and invite supplier” without filling in “Why is a second case needed?”.</t>
        </is>
      </c>
      <c r="G4" s="9" t="inlineStr">
        <is>
          <t>- Step 1: “Complete N items before creating the case:” lists every missing item at once (trade name, main INCI, BDF material number, supplier). No case is created.
- Step 2: the first two active contacts are ticked automatically; the third shows “a case has at most two contacts”.
- Step 3: “Choose one or two case contacts.”
- Step 4: “None of the chosen contacts may confirm completeness or give the final release. Add one who may.”
- Step 5: “Choose at least one target market.”
- Step 6: a warning links to the open case for this supplier and material; “Why is a second case needed?” becomes required.
- Step 7: “Say why a second case is needed for this material.” No case is created.
- RMM cannot add a supplier or contact in New case. The hint “Supplier not in the list?” points to the business administrator; new suppliers are set up by the development team (Read me).</t>
        </is>
      </c>
      <c r="H4" s="9" t="inlineStr">
        <is>
          <t>REQ-PROC-001</t>
        </is>
      </c>
      <c r="I4" s="9" t="inlineStr">
        <is>
          <t>High</t>
        </is>
      </c>
      <c r="J4" s="10" t="inlineStr"/>
      <c r="K4" s="10" t="inlineStr"/>
      <c r="L4" s="10" t="inlineStr"/>
      <c r="M4" s="11" t="inlineStr"/>
    </row>
    <row r="5" ht="192.8" customHeight="1">
      <c r="A5" s="8" t="inlineStr">
        <is>
          <t>TC-04</t>
        </is>
      </c>
      <c r="B5" s="9" t="inlineStr">
        <is>
          <t>Case start</t>
        </is>
      </c>
      <c r="C5" s="9" t="inlineStr">
        <is>
          <t>Raw Material Manager (RMM); Supplier contact (to check)</t>
        </is>
      </c>
      <c r="D5" s="8" t="inlineStr">
        <is>
          <t>Start a case and invite the supplier contacts</t>
        </is>
      </c>
      <c r="E5" s="9" t="inlineStr">
        <is>
          <t>Supplier A is active with at least three active contacts; at least two may confirm. Its contacts have Supplier Portal accounts.</t>
        </is>
      </c>
      <c r="F5" s="9" t="inlineStr">
        <is>
          <t>1. Click “New case”. Enter Trade name, Main INCI and BDF material no. Leave Case owner as yourself.
2. Search supplier A in “Find by supplier, DUNS, country, city or contact…” and select it.
3. Under “Case contacts”, keep or tick two contacts.
4. Under Target markets, select European Union and United Kingdom. Read the line below.
5. Keep the due date (60 days from today) and Priority “Normal”. Note the versions under “What happens next”.
6. Click “Create case and invite supplier”.
7. As one of the two named contacts, sign in to the Supplier Portal and open My requests.
8. As supplier A's third contact (not named on the case), open My requests.</t>
        </is>
      </c>
      <c r="G5" s="9" t="inlineStr">
        <is>
          <t>- Step 4: “These markets add:” names K6.2 UK REACH and A11 UK REACH (per substance).
- Step 6: the case page opens with its case ID. The header shows the trade name, the phase “Supplier filling in the CIQ”, “With supplier”, INCI, BDF material no., the supplier with its DUNS number, the owner and the due date.
- Overview &gt; Case facts shows the same questionnaire and rule-set versions; “Supplier contacts” lists exactly the two chosen contacts. History records the creation with your name and time. Cases lists the case under Open and Part 1.
- Step 7: the request is under “Needs your action”. Trade name, supplier, DUNS number and contact e-mails are pre-filled and locked; the target markets are read-only.
- Step 8: the contact who is not named does not see the request.</t>
        </is>
      </c>
      <c r="H5" s="9" t="inlineStr">
        <is>
          <t>REQ-PROC-001, REQ-PROC-004, REQ-CFG-001, REQ-CFG-003, REQ-CTL-001, REQ-CTL-003</t>
        </is>
      </c>
      <c r="I5" s="9" t="inlineStr">
        <is>
          <t>High</t>
        </is>
      </c>
      <c r="J5" s="10" t="inlineStr"/>
      <c r="K5" s="10" t="inlineStr"/>
      <c r="L5" s="10" t="inlineStr"/>
      <c r="M5" s="11" t="inlineStr"/>
    </row>
    <row r="6" ht="298.4" customHeight="1">
      <c r="A6" s="8" t="inlineStr">
        <is>
          <t>TC-05</t>
        </is>
      </c>
      <c r="B6" s="9" t="inlineStr">
        <is>
          <t>Supplier fills in – sign-in and request page</t>
        </is>
      </c>
      <c r="C6" s="9" t="inlineStr">
        <is>
          <t>Supplier contact</t>
        </is>
      </c>
      <c r="D6" s="8" t="inlineStr">
        <is>
          <t>Sign in, see My requests and Help, and open the request</t>
        </is>
      </c>
      <c r="E6" s="9" t="inlineStr">
        <is>
          <t>Contact A is named on the case from TC-04 (markets European Union and United Kingdom) and has not used the portal before.</t>
        </is>
      </c>
      <c r="F6" s="9" t="inlineStr">
        <is>
          <t>1. Sign in to the Supplier Portal as contact A and read “My requests”.
2. Collapse and expand the left menu. Click “How the portal works”, then “My requests”.
3. Click “Start the questionnaire” on the request card. Read the header, the step bar and the completeness bar.
4. Read the section navigator and open “General information”.
5. Repeat on a phone-sized screen and open the section selector.</t>
        </is>
      </c>
      <c r="G6" s="9" t="inlineStr">
        <is>
          <t>- Step 1: “My requests” shows the company name and “Welcome, &lt;first name&gt;”, and no Beiersdorf-internal screen. “Your tasks (1)” lists “Fill in the CIQ and confirm completeness”; the card under “Needs your action” shows the material, the references, “Fill in the questionnaire — 0 %”, the due date and “Start the questionnaire”.
- Step 2: the menu has “My requests” with the open-task count and “Help”, and at the bottom “Updated &lt;time&gt;”, Reload and the night-mode switch. Help shows “How it works” in three steps, the FAQs and “Your Beiersdorf contacts”.
- Step 3: the header names your Beiersdorf contact and the due date. The step bar reads Questionnaire · Beiersdorf review · Final release. The completeness bar shows “0 % complete · 0 of N required answers”, “Every answer is saved automatically.”, “Check completeness” and “Confirm completeness”.
- Step 4: “&lt;N&gt; sections apply to this material”, grouped into General, Chapters and Annexes, each marked Mandatory, Optional or Documents only. K6.2 and A11 are listed (UK market); Turkey REACH is not. In General information, trade name, supplier, DUNS number and contact e-mails are locked (“Pre-filled by Beiersdorf”); manufacturer and production site can be edited.
- Step 5: a “Section” selector, grouped the same way; no sideways scrolling.</t>
        </is>
      </c>
      <c r="H6" s="9" t="inlineStr">
        <is>
          <t>REQ-PROC-004, REQ-PROC-009, REQ-PROC-010, REQ-PROC-030, REQ-CTL-003, REQ-CTL-006, REQ-CTL-010</t>
        </is>
      </c>
      <c r="I6" s="9" t="inlineStr">
        <is>
          <t>High</t>
        </is>
      </c>
      <c r="J6" s="10" t="inlineStr"/>
      <c r="K6" s="10" t="inlineStr"/>
      <c r="L6" s="10" t="inlineStr"/>
      <c r="M6" s="11" t="inlineStr"/>
    </row>
    <row r="7" ht="258.8" customHeight="1">
      <c r="A7" s="8" t="inlineStr">
        <is>
          <t>TC-06</t>
        </is>
      </c>
      <c r="B7" s="9" t="inlineStr">
        <is>
          <t>Supplier fills in – metadata and scope</t>
        </is>
      </c>
      <c r="C7" s="9" t="inlineStr">
        <is>
          <t>Supplier contact; Raw Material Manager (RMM) to check</t>
        </is>
      </c>
      <c r="D7" s="8" t="inlineStr">
        <is>
          <t>Metadata answers open and close sections live</t>
        </is>
      </c>
      <c r="E7" s="9" t="inlineStr">
        <is>
          <t>The request from TC-04, no metadata question answered yet.</t>
        </is>
      </c>
      <c r="F7" s="9" t="inlineStr">
        <is>
          <t>1. Open “Metadata questions”. Read the questions and the panel “What your answers switch on”.
2. For “What is the origin of the components?”, select “Vegetable (bio mass)”.
3. Click A1 Vegetable origin in the note under the question, enter one answer there, and go back.
4. Deselect “Vegetable (bio mass)”, then select it again and open A1.
5. Answer “Is the material a UV filter?” with Yes.
6. Answer “Is microbiological testing of the raw material required?” with No.
7. Also select “Waste / side stream” as an origin.
8. Answer the remaining required questions.
9. As RMM, open the case, click Reload, and check Overview &gt; Scope and the Questionnaire tab.</t>
        </is>
      </c>
      <c r="G7" s="9" t="inlineStr">
        <is>
          <t>- Step 1: 9 questions, 8 of them required (*). “Target markets set by Beiersdorf” is read-only. The header reads “0 of 8 answered”.
- Step 2: “Opened: A1 Vegetable origin, A2 Manufacturing process, A9 Polyaromatic hydrocarbons (PAH).” They appear at once in the navigator, marked “New”. K1 now asks for “Sustainability certificates”; K2.3 shows “Part(s) used” and “Country of origin”.
- Step 3: A1's “Country of origin” is locked: “Filled in from Country of origin (K2.3). Change it there.”
- Step 4: “Closed: …” says your answers are kept; after reselecting, the A1 answer is back.
- Step 5: “Opened: A5 UV filters.”
- Step 6: K5.1 is waived and a justification box appears; K5.1 shows “Waived · justification needed”; K5.2 stays mandatory.
- Step 7: a note says there are no specific rules yet for waste origins, so you get the standard sections.
- Step 8: “All answered”; the section count and the completeness % update. No rule numbers are shown.
- Step 9: RMM sees the same sections and “Required metadata questions answered: 8 of 8”.</t>
        </is>
      </c>
      <c r="H7" s="9" t="inlineStr">
        <is>
          <t>REQ-PROC-007, REQ-PROC-009, REQ-PROC-010, REQ-CFG-003, REQ-CFG-008, REQ-CFG-009</t>
        </is>
      </c>
      <c r="I7" s="9" t="inlineStr">
        <is>
          <t>High</t>
        </is>
      </c>
      <c r="J7" s="10" t="inlineStr"/>
      <c r="K7" s="10" t="inlineStr"/>
      <c r="L7" s="10" t="inlineStr"/>
      <c r="M7" s="11" t="inlineStr"/>
    </row>
    <row r="8" ht="219.2" customHeight="1">
      <c r="A8" s="8" t="inlineStr">
        <is>
          <t>TC-07</t>
        </is>
      </c>
      <c r="B8" s="9" t="inlineStr">
        <is>
          <t>Supplier fills in – answers</t>
        </is>
      </c>
      <c r="C8" s="9" t="inlineStr">
        <is>
          <t>Supplier contact; Raw Material Manager (RMM) to check</t>
        </is>
      </c>
      <c r="D8" s="8" t="inlineStr">
        <is>
          <t>Fill in sections: answer types, checks and “cannot provide” justifications</t>
        </is>
      </c>
      <c r="E8" s="9" t="inlineStr">
        <is>
          <t>Request in “Fill in the questionnaire”. Origin Vegetable answered.</t>
        </is>
      </c>
      <c r="F8" s="9" t="inlineStr">
        <is>
          <t>1. In General information, fill “Manufacturer (name and address)” and “Production site (name and address)”, then click outside the field.
2. Try to change “Trade name of the raw material”.
3. In K2.2 Byproducts and contaminations, type “abc” in “Arsenic (As) content”, then 0.8.
4. Click “Write the justification” and fill “Justification for values above the BDF limit”.
5. In A1, answer “Pesticides analysis available?” with Yes, then with No.
6. At a mandatory question you cannot answer, click “Cannot provide? Add a justification”, write a reason and click outside.
7. Click “Remove justification”, then add it again.
8. Complete one section, then use “Next: …” at the bottom.
9. As RMM, open the case's Questionnaire tab.</t>
        </is>
      </c>
      <c r="G8" s="9" t="inlineStr">
        <is>
          <t>- Each answer is saved when you leave the field: “Answered by &lt;name&gt; (you) · &lt;date, time&gt;”.
- Step 2: the field is locked (set by Beiersdorf).
- Step 3: “abc” gives “Please enter a number”. 0.8 gives “Above the BDF limit of 0.5 mg/kg. …” and points to the justification at the end of the section, highlighted until it is filled.
- Step 5: Yes shows “Pesticides analysis (PDF)”; No shows “Reason the pesticides analysis is not available” instead.
- Step 6: the box “Why can't you provide this?” says a justification counts as answered and Beiersdorf decides whether it is acceptable. The item shows “Justified” with your name and time.
- Step 7: without the justification the item is missing again.
- Step 8: the section header shows “Complete”, the navigator a check, and the overall % rises. “Next: &lt;code&gt; · &lt;title&gt;” opens the next section.
- Step 9: RMM sees each answer and justification with who and when, and cannot change them.</t>
        </is>
      </c>
      <c r="H8" s="9" t="inlineStr">
        <is>
          <t>REQ-CFG-002, REQ-PROC-006, REQ-PROC-012, REQ-CTL-001</t>
        </is>
      </c>
      <c r="I8" s="9" t="inlineStr">
        <is>
          <t>High</t>
        </is>
      </c>
      <c r="J8" s="10" t="inlineStr"/>
      <c r="K8" s="10" t="inlineStr"/>
      <c r="L8" s="10" t="inlineStr"/>
      <c r="M8" s="11" t="inlineStr"/>
    </row>
    <row r="9" ht="285.2" customHeight="1">
      <c r="A9" s="8" t="inlineStr">
        <is>
          <t>TC-08</t>
        </is>
      </c>
      <c r="B9" s="9" t="inlineStr">
        <is>
          <t>Supplier fills in – composition</t>
        </is>
      </c>
      <c r="C9" s="9" t="inlineStr">
        <is>
          <t>Supplier contact; Raw Material Manager (RMM) to check</t>
        </is>
      </c>
      <c r="D9" s="8" t="inlineStr">
        <is>
          <t>Enter the composition in K2.1 Components and additives</t>
        </is>
      </c>
      <c r="E9" s="9" t="inlineStr">
        <is>
          <t>Request in “Fill in the questionnaire”. Origins answered: Vegetable (bio mass) and Petrochemical / fossil.</t>
        </is>
      </c>
      <c r="F9" s="9" t="inlineStr">
        <is>
          <t>1. Open K2.1 Components and additives and click “Add component”.
2. Fill “INCI (European) / IUPAC” and “Function”, answer “Additive?” with No and keep Origin “Vegetable (bio mass)”.
3. Enter CAS number 59-02-8, then 59-02-9. Enter EC number 200-412-3, then 200-412-2, then the REACH registration number 01-2119457892-27-0000.
4. Enter the concentration as 60 – 40 %, then 0 – 120 %, then 40 – 60 %.
5. Add a second component: Origin “Petrochemical / fossil”, Additive Yes, 0.1 – 0.5 %.
6. Add a third component, click into its “INCI (European) / IUPAC” field, leave everything empty and click elsewhere. Click “Check completeness”, then remove the component with its bin icon.
7. In Metadata questions, deselect “Petrochemical / fossil”, click “Check completeness” in K2.1, then select the origin again.
8. Enter “Natural origin index” 1.5, then 0.853, then 0.85.
9. Reload the page. As RMM, open K2.1 on the Questionnaire tab.</t>
        </is>
      </c>
      <c r="G9" s="9" t="inlineStr">
        <is>
          <t>- Each component asks Additive?, INCI (European) / IUPAC, CAS number, EC number or REACH registration no., Function, Origin and the concentration (min – max %). The Origin list offers only the origins selected in the metadata questions.
- Step 3: 59-02-8 gives “The CAS check digit does not match. …” and 200-412-3 “The EC check digit does not match. …”. The valid numbers and the REACH number are accepted.
- Step 4: 60 – 40 gives “The minimum is higher than the maximum”; 0 – 120 gives “Concentrations must be between 0 and 100 %”. A total (min · max %) is shown, with a non-blocking hint when the maximums add up to less than 100 %.
- Step 6: the empty component shows “Required” on its required fields; the completeness check lists each missing item of component 3 and jumps to it. After the removal the row is gone.
- Step 7: component 2 shows “Not one of the origins you selected in the metadata questions”, also in the completeness check; both clear when the origin is selected again.
- Step 8: 1.5 gives “Must be between 0 and 1”; 0.853 gives “Max. 2 decimals”; 0.85 is accepted.
- Step 9: all rows come back in the same order. RMM sees them read-only.</t>
        </is>
      </c>
      <c r="H9" s="9" t="inlineStr">
        <is>
          <t>REQ-CFG-002, REQ-PROC-006</t>
        </is>
      </c>
      <c r="I9" s="9" t="inlineStr">
        <is>
          <t>High</t>
        </is>
      </c>
      <c r="J9" s="10" t="inlineStr"/>
      <c r="K9" s="10" t="inlineStr"/>
      <c r="L9" s="10" t="inlineStr"/>
      <c r="M9" s="11" t="inlineStr"/>
    </row>
    <row r="10" ht="232.4" customHeight="1">
      <c r="A10" s="8" t="inlineStr">
        <is>
          <t>TC-09</t>
        </is>
      </c>
      <c r="B10" s="9" t="inlineStr">
        <is>
          <t>Supplier fills in – documents</t>
        </is>
      </c>
      <c r="C10" s="9" t="inlineStr">
        <is>
          <t>Supplier contacts A and B; Raw Material Manager (RMM) to check</t>
        </is>
      </c>
      <c r="D10" s="8" t="inlineStr">
        <is>
          <t>Upload documents at the question; remove an own file</t>
        </is>
      </c>
      <c r="E10" s="9" t="inlineStr">
        <is>
          <t>Request in “Fill in the questionnaire”. Contacts A and B are named. Origin Vegetable answered.</t>
        </is>
      </c>
      <c r="F10" s="9" t="inlineStr">
        <is>
          <t>1. As A, in K1 Mandatory documents, drop or choose a PDF at “Safety data sheet (SDS)”. Click “Preview”.
2. Upload a second file at the same question.
3. In “Requested documents” at the end of the section, upload a file to one row.
4. Open a chapter answered with documents only (e.g. K3 Storage conditions and handling) and upload a statement.
5. On a file A uploaded, click “Remove”, then “No”. Click “Remove” again, then “Yes, remove”.
6. As B, look at A's files.
7. As RMM, open the case's Documents tab.</t>
        </is>
      </c>
      <c r="G10" s="9" t="inlineStr">
        <is>
          <t>- Step 1: the toast “&lt;file&gt; uploaded.”; the file shows name, upload date and time, uploader and size, and the question counts as answered. “Preview” opens it.
- Step 2: the second file is listed next to the first with today's date; nothing is overwritten.
- Step 3: the row says why Beiersdorf needs the document and shows “Uploaded” afterwards. A row without a file offers “Cannot provide? Add a justification”.
- Step 4: the chapter says it does not block your completeness confirmation. Toast “&lt;file&gt; added to K3.”
- Step 5: “No” keeps the file. “Yes, remove” shows “File removed from the questionnaire.”; if it was the only file, the question is missing again.
- Step 6: B has no “Remove” on A's files: only the uploader can remove a file, and not once it answers an open question or the final release is requested.
- Step 7: RMM sees each file at its question and on the Documents tab, with file name, uploader and upload date.</t>
        </is>
      </c>
      <c r="H10" s="9" t="inlineStr">
        <is>
          <t>REQ-PROC-011, REQ-PROC-031</t>
        </is>
      </c>
      <c r="I10" s="9" t="inlineStr">
        <is>
          <t>High</t>
        </is>
      </c>
      <c r="J10" s="10" t="inlineStr"/>
      <c r="K10" s="10" t="inlineStr"/>
      <c r="L10" s="10" t="inlineStr"/>
      <c r="M10" s="11" t="inlineStr"/>
    </row>
    <row r="11" ht="258.8" customHeight="1">
      <c r="A11" s="8" t="inlineStr">
        <is>
          <t>TC-10</t>
        </is>
      </c>
      <c r="B11" s="9" t="inlineStr">
        <is>
          <t>Supplier fills in – saving, teamwork, Beiersdorf view</t>
        </is>
      </c>
      <c r="C11" s="9" t="inlineStr">
        <is>
          <t>Supplier contacts A and B; Raw Material Manager (RMM) to check</t>
        </is>
      </c>
      <c r="D11" s="8" t="inlineStr">
        <is>
          <t>Answers save automatically; two colleagues work at the same time; RMM follows the case</t>
        </is>
      </c>
      <c r="E11" s="9" t="inlineStr">
        <is>
          <t>Request in “Fill in the questionnaire”, completeness not yet confirmed. Contacts A and B are both named on it.</t>
        </is>
      </c>
      <c r="F11" s="9" t="inlineStr">
        <is>
          <t>1. As A, answer questions in two sections and watch the bottom of the left menu.
2. Close the browser without saving. Sign in again as A and click “Continue” on My requests.
3. As B in another browser, answer a question in another section. As A, click Reload.
4. A and B change the same answer one after the other, then both click Reload.
5. As RMM, open the case. Check the status strip and the Overview cards Reviews, Confirmations, Scope and Supplier contacts.
6. On the Questionnaire tab, try the filters “All sections”, “Missing items” and “Not applicable”, and open a section that does not apply.</t>
        </is>
      </c>
      <c r="G11" s="9" t="inlineStr">
        <is>
          <t>- Step 1: there is no save button; the menu shows “Saving…”, then “Updated &lt;time&gt;”.
- Step 2: “Welcome back, &lt;first name&gt;”; the task shows “N % done · M items still open”. “Continue” opens the first section with something missing, with all earlier answers.
- Step 3: B sees A's answers with A's name; after Reload, A sees B's answer with “Answered by &lt;B&gt;”.
- Step 4: both see the later save, with the name of whoever saved it. No other answer is lost.
- Step 5: the status strip (Supplier fills in, Review, Final release, Completed) is at Supplier fills in. Reviews: “The reviews start when the supplier confirms completeness.” with the expected departments. Confirmations: “Nothing confirmed yet.” Scope shows the Mandatory, Optional and Not applicable counts and “Required metadata questions answered: x of 8”. A contact not allowed to confirm is marked “May not confirm”.
- Step 6: RMM sees both contacts' answers with name and time and cannot change any. A section that does not apply shows “Why not applicable” with the reason.</t>
        </is>
      </c>
      <c r="H11" s="9" t="inlineStr">
        <is>
          <t>REQ-CTL-001, REQ-CTL-006, REQ-PROC-006, REQ-PROC-009, REQ-PROC-010</t>
        </is>
      </c>
      <c r="I11" s="9" t="inlineStr">
        <is>
          <t>High</t>
        </is>
      </c>
      <c r="J11" s="10" t="inlineStr"/>
      <c r="K11" s="10" t="inlineStr"/>
      <c r="L11" s="10" t="inlineStr"/>
      <c r="M11" s="11" t="inlineStr"/>
    </row>
    <row r="12" ht="219.2" customHeight="1">
      <c r="A12" s="8" t="inlineStr">
        <is>
          <t>TC-11</t>
        </is>
      </c>
      <c r="B12" s="9" t="inlineStr">
        <is>
          <t>Completeness</t>
        </is>
      </c>
      <c r="C12" s="9" t="inlineStr">
        <is>
          <t>Supplier contacts A (may confirm) and B (may not confirm); Raw Material Manager (RMM) to check</t>
        </is>
      </c>
      <c r="D12" s="8" t="inlineStr">
        <is>
          <t>Check completeness, confirm it and submit to Beiersdorf</t>
        </is>
      </c>
      <c r="E12" s="9" t="inlineStr">
        <is>
          <t>Request in “Fill in the questionnaire” with some required items still open. Contact A may confirm; contact B is named but may not confirm.</t>
        </is>
      </c>
      <c r="F12" s="9" t="inlineStr">
        <is>
          <t>1. As A, click “Check completeness”, then one of the listed items.
2. Click “Confirm completeness” and read the window.
3. Click “Show what is missing”. Answer or justify every listed item, then click “Check completeness” again.
4. As B, open the request.
5. As A, click “Confirm completeness”, tick “I confirm the statement above on behalf of my company.” and click “Confirm and submit”.
6. As RMM, open the case.</t>
        </is>
      </c>
      <c r="G12" s="9" t="inlineStr">
        <is>
          <t>- Step 1: “N items still need an answer or a justification”, grouped by section, each a link. Clicking one jumps to the question and highlights it.
- Step 2: the window lists the missing items; the checkbox and “Confirm and submit” are disabled.
- Step 3: “Everything required is answered or justified – You can confirm completeness now. …” The bar shows 100 %.
- Step 4: B sees “&lt;A&gt; can confirm completeness for your company.” instead of the button.
- Step 5: the window says the data are complete from your point of view and that this is not a Beiersdorf approval, with Confirmed by, E-mail, On behalf of and Time. After submitting: “Completeness confirmed. …”, the status “Beiersdorf is reviewing” and the step bar at “Beiersdorf review”. The fill-in task disappears; the card moves to “With Beiersdorf”.
- Step 6: the case shows “Review (RMM and departments)” and the confirmation with A's name, e-mail and time (TC-12).</t>
        </is>
      </c>
      <c r="H12" s="9" t="inlineStr">
        <is>
          <t>REQ-PROC-005, REQ-PROC-012, REQ-PROC-014, REQ-PROC-015, REQ-CTL-001</t>
        </is>
      </c>
      <c r="I12" s="9" t="inlineStr">
        <is>
          <t>High</t>
        </is>
      </c>
      <c r="J12" s="10" t="inlineStr"/>
      <c r="K12" s="10" t="inlineStr"/>
      <c r="L12" s="10" t="inlineStr"/>
      <c r="M12" s="11" t="inlineStr"/>
    </row>
    <row r="13" ht="206" customHeight="1">
      <c r="A13" s="8" t="inlineStr">
        <is>
          <t>TC-12</t>
        </is>
      </c>
      <c r="B13" s="9" t="inlineStr">
        <is>
          <t>Completeness – reviews start</t>
        </is>
      </c>
      <c r="C13" s="9" t="inlineStr">
        <is>
          <t>Raw Material Manager (RMM); department reviewers</t>
        </is>
      </c>
      <c r="D13" s="8" t="inlineStr">
        <is>
          <t>After completeness, reviews start for exactly the departments concerned</t>
        </is>
      </c>
      <c r="E13" s="9" t="inlineStr">
        <is>
          <t>TC-11 done. Overview &gt; Reviews named the expected departments; at least one department was not among them.</t>
        </is>
      </c>
      <c r="F13" s="9" t="inlineStr">
        <is>
          <t>1. As RMM, open the case and click Reload. Check the phase, Overview &gt; Confirmations and Overview &gt; Reviews.
2. Open the Dashboard and read “Needs your action”.
3. As each department reviewer named in Reviews, open My reviews &gt; To review.
4. As a reviewer of a department not named, open My reviews, then the case from Cases.
5. As the Safety or Regulatory reviewer, open the case's review and its RMES tab.
6. If the supplier chose Waste / side stream (TC-06), check the RMM Dashboard and the RMM review.</t>
        </is>
      </c>
      <c r="G13" s="9" t="inlineStr">
        <is>
          <t>- Step 1: the phase is “Review (RMM and departments)”, “With Beiersdorf”. Confirmations shows the completeness confirmation with the contact's name, role, e-mail and time. Reviews shows the RMM card (“Covers: The whole CIQ”) and one card per department that leads a section in scope, each “In review” with assignee and start date; Customs and Legal show “Informed · read-only”.
- Step 2: “My review”: “Your review of the whole CIQ is open”.
- Step 3: each named reviewer has the case under To review.
- Step 4: no row for the department not concerned; the case page is read-only, with no “Open my review”.
- Step 5: the RMES tab shows the case's 8 fields, filled automatically (TC-19).
- Step 6: the Dashboard shows “Origin without rules: Waste / side stream” and the RMM review “Flagged for you: origin without rules”. It blocks nothing.</t>
        </is>
      </c>
      <c r="H13" s="9" t="inlineStr">
        <is>
          <t>REQ-PROC-014, REQ-PROC-015, REQ-PROC-017, REQ-PROC-018, REQ-PROC-021, REQ-CFG-006, REQ-CTL-003</t>
        </is>
      </c>
      <c r="I13" s="9" t="inlineStr">
        <is>
          <t>High</t>
        </is>
      </c>
      <c r="J13" s="10" t="inlineStr"/>
      <c r="K13" s="10" t="inlineStr"/>
      <c r="L13" s="10" t="inlineStr"/>
      <c r="M13" s="11" t="inlineStr"/>
    </row>
    <row r="14" ht="219.2" customHeight="1">
      <c r="A14" s="8" t="inlineStr">
        <is>
          <t>TC-13</t>
        </is>
      </c>
      <c r="B14" s="9" t="inlineStr">
        <is>
          <t>Department review</t>
        </is>
      </c>
      <c r="C14" s="9" t="inlineStr">
        <is>
          <t>Quality Management reviewer (repeat for one other department); a second Quality Management reviewer</t>
        </is>
      </c>
      <c r="D14" s="8" t="inlineStr">
        <is>
          <t>Review workspace: read every section without editing; hand the review to a colleague</t>
        </is>
      </c>
      <c r="E14" s="9" t="inlineStr">
        <is>
          <t>A case in review with an open QM review assigned to reviewer 1; reviewer 2 is another active QM user. The supplier uploaded at least one document. Adding a section is not part of these tests; do not use “Add a section”.</t>
        </is>
      </c>
      <c r="F14" s="9" t="inlineStr">
        <is>
          <t>1. As reviewer 1, open the case from My reviews &gt; To review. Read the header and the panel on the right.
2. Open a section under “My sections”, one under “Other sections”, and K2.1 Components and additives.
3. Find an uploaded document. Try to change any answer or document.
4. Click “Case overview”, then go back.
5. Click “Reassign” next to “My QM review”, choose reviewer 2 in “Hand over to” and click “Reassign” without a reason; then with a reason.
6. As reviewer 2, open My reviews and the case.</t>
        </is>
      </c>
      <c r="G14" s="9" t="inlineStr">
        <is>
          <t>- Step 1: the header shows the case ID, INCI, supplier, BDF material no., trade name, the phase and when completeness was confirmed. “My QM review” shows “In review” and “Assigned to you”; “Other reviews” shows every other review's status.
- Step 2: every answer shows who entered it and when, with “Ask supplier” next to it. Other departments' sections can be read in full. K2.1 shows one row per component.
- Step 3: a document shows its file name and upload date. The reviewer cannot change or delete anything.
- Step 4: “Case overview” opens the case page.
- Step 5: without a reason: “Say why the review changes hands.” The window says open points you raised stay with you. Then the header shows “Assigned to &lt;reviewer 2&gt;” and the case history records the reason.
- Step 6: reviewer 2 has the case under To review with “Assigned to you”.</t>
        </is>
      </c>
      <c r="H14" s="9" t="inlineStr">
        <is>
          <t>REQ-PROC-011, REQ-PROC-016, REQ-PROC-018, REQ-PROC-019, REQ-CTL-001, REQ-CTL-003</t>
        </is>
      </c>
      <c r="I14" s="9" t="inlineStr">
        <is>
          <t>High</t>
        </is>
      </c>
      <c r="J14" s="10" t="inlineStr"/>
      <c r="K14" s="10" t="inlineStr"/>
      <c r="L14" s="10" t="inlineStr"/>
      <c r="M14" s="11" t="inlineStr"/>
    </row>
    <row r="15" ht="232.4" customHeight="1">
      <c r="A15" s="8" t="inlineStr">
        <is>
          <t>TC-14</t>
        </is>
      </c>
      <c r="B15" s="9" t="inlineStr">
        <is>
          <t>Department review – changes during the review</t>
        </is>
      </c>
      <c r="C15" s="9" t="inlineStr">
        <is>
          <t>Supplier contact; Regulatory Affairs and Quality Management reviewers (to check)</t>
        </is>
      </c>
      <c r="D15" s="8" t="inlineStr">
        <is>
          <t>Supplier corrects data during the review; reviewers see it</t>
        </is>
      </c>
      <c r="E15" s="9" t="inlineStr">
        <is>
          <t>Completeness confirmed, review running, origin Vegetable answered. The QM review is already completed; the Regulatory review is open.</t>
        </is>
      </c>
      <c r="F15" s="9" t="inlineStr">
        <is>
          <t>1. As the supplier, open the request and read the heading above the questionnaire.
2. Change “Country of origin” in K2.3 and add a new certificate of analysis in K1.
3. In Metadata questions, answer “Is the material a UV filter?” with Yes.
4. Deselect “Vegetable (bio mass)” and read the message. Look at K2.1, then select it again.
5. As the Regulatory reviewer, open the case from My reviews.
6. As the QM reviewer, open the case and click “Reopen my review”.</t>
        </is>
      </c>
      <c r="G15" s="9" t="inlineStr">
        <is>
          <t>- Step 1: you can still correct data and add documents until Beiersdorf requests your final release; a changed metadata answer can only add sections now. There is no completeness bar any more.
- Step 2: the change is saved with your name and time; A1's “Country of origin” shows the new value. The new certificate is listed next to the earlier one, which stays.
- Step 3: “Added to your questionnaire: A5 UV filters. You also get a task for it.” A5 shows “Added after your completeness confirmation”.
- Step 4: “Stays in your questionnaire: A1 …, A2 …, A9 ….” No section disappears. Meanwhile each Vegetable component shows “Not one of the origins you selected …”, cleared when Vegetable is selected again.
- Step 5: a notice names the changed sections; the changed answers and documents are marked. A5 is in scope.
- Step 6: the QM review stays “Completed” (it does not reopen by itself); its notice says the supplier changed K1 since the completion. Only RMM can reopen a review: “Reopen my review” shows “Ask RMM: …”.
- The case history records each change with name and time.</t>
        </is>
      </c>
      <c r="H15" s="9" t="inlineStr">
        <is>
          <t>REQ-PROC-007, REQ-PROC-011, REQ-PROC-016, REQ-PROC-031, REQ-CFG-008, REQ-CFG-009</t>
        </is>
      </c>
      <c r="I15" s="9" t="inlineStr">
        <is>
          <t>High</t>
        </is>
      </c>
      <c r="J15" s="10" t="inlineStr"/>
      <c r="K15" s="10" t="inlineStr"/>
      <c r="L15" s="10" t="inlineStr"/>
      <c r="M15" s="11" t="inlineStr"/>
    </row>
    <row r="16" ht="258.8" customHeight="1">
      <c r="A16" s="8" t="inlineStr">
        <is>
          <t>TC-15</t>
        </is>
      </c>
      <c r="B16" s="9" t="inlineStr">
        <is>
          <t>Open points – raise</t>
        </is>
      </c>
      <c r="C16" s="9" t="inlineStr">
        <is>
          <t>Product Safety reviewer (repeat once as RMM); Regulatory Affairs reviewer; Supplier contact (to check)</t>
        </is>
      </c>
      <c r="D16" s="8" t="inlineStr">
        <is>
          <t>Ask the supplier about an answer, a K2.1 value and a document</t>
        </is>
      </c>
      <c r="E16" s="9" t="inlineStr">
        <is>
          <t>A case in review with Safety and Regulatory tasks and no open point yet. K2.1 has at least three components; a document is uploaded in a section in scope.</t>
        </is>
      </c>
      <c r="F16" s="9" t="inlineStr">
        <is>
          <t>1. As the Safety reviewer, open a section (e.g. K2.2) in the review workspace and click “Ask supplier” next to an answer. Keep the Type “Query”.
2. Click “Send to supplier” with question and justification empty; then clear the due date and try again.
3. Fill in the question and the justification, keep the due date and “Responsible at Beiersdorf”, and send. Go back to My reviews.
4. As the Regulatory reviewer, in K2.1 click “Ask supplier” on component 3, choose “CAS number” under “About which value?”, and send a question.
5. Click “Ask supplier” next to the uploaded document (Type “Document request”) and send.
6. As a case contact, open My requests and the request.</t>
        </is>
      </c>
      <c r="G16" s="9" t="inlineStr">
        <is>
          <t>- Step 1: the window shows the exact answer as the reference and says the supplier sees the reference, question, justification and due date, while internal notes, the RMES and the decisions stay internal.
- Step 2: “Write the question the supplier should answer.”, “Say why Beiersdorf needs this.” and “Pick today or a later date.” Nothing is sent.
- Step 3: “My open points (1)” shows the point with reference, question, due date, “Round 1”, raiser, responsible person and justification, “With the supplier, waiting for an answer.” “My Safety review” shows “Waiting for supplier” and “1 item blocks your completion”; on My reviews the case is under “Waiting for supplier”.
- Step 4: the Reference reads “K2.1 › component 3 (&lt;INCI&gt;) › CAS number”.
- Step 5: the Reference names the document by file name and upload date.
- Step 6: the request is under “Needs your action”; “Questions for you” lists the three questions separately, each with reference, question, justification, due date and asker, and each jumps to what it refers to. Component 3 shows “Asked about” and cannot be removed. No internal note, RMES content or decision is visible.</t>
        </is>
      </c>
      <c r="H16" s="9" t="inlineStr">
        <is>
          <t>REQ-PROC-006, REQ-PROC-011, REQ-PROC-029, REQ-PROC-030, REQ-ADR-001, REQ-CTL-002, REQ-CTL-003, REQ-CTL-010</t>
        </is>
      </c>
      <c r="I16" s="9" t="inlineStr">
        <is>
          <t>High</t>
        </is>
      </c>
      <c r="J16" s="10" t="inlineStr"/>
      <c r="K16" s="10" t="inlineStr"/>
      <c r="L16" s="10" t="inlineStr"/>
      <c r="M16" s="11" t="inlineStr"/>
    </row>
    <row r="17" ht="285.2" customHeight="1">
      <c r="A17" s="8" t="inlineStr">
        <is>
          <t>TC-16</t>
        </is>
      </c>
      <c r="B17" s="9" t="inlineStr">
        <is>
          <t>Open points – answer, accept, return</t>
        </is>
      </c>
      <c r="C17" s="9" t="inlineStr">
        <is>
          <t>Supplier contact; Product Safety and Regulatory Affairs reviewers; Raw Material Manager (RMM) to check</t>
        </is>
      </c>
      <c r="D17" s="8" t="inlineStr">
        <is>
          <t>The supplier answers; the reviewer accepts, or returns the answer for a new round</t>
        </is>
      </c>
      <c r="E17" s="9" t="inlineStr">
        <is>
          <t>The Safety question and the Regulatory CAS number question from TC-15 are open and not answered.</t>
        </is>
      </c>
      <c r="F17" s="9" t="inlineStr">
        <is>
          <t>1. As the supplier, click “Answer” on the Safety question in “Your tasks”. Click “Go to &lt;reference&gt;”, then reopen the question.
2. Type the answer and click “Send to Beiersdorf”. Answer the Regulatory question the same way.
3. As the Safety reviewer, click Reload on My reviews, open the case and click “Accept” on the answered point.
4. As the Regulatory reviewer, click “Return to supplier” on the answered point, first without a reason, then with one.
5. As the supplier, answer the returned question again. Then open the accepted question.
6. As the Regulatory reviewer, click Reload and decide on the round 2 answer. As RMM, open the case page &gt; Open points (“All”) and click the point.</t>
        </is>
      </c>
      <c r="G17" s="9" t="inlineStr">
        <is>
          <t>- Step 1: the task shows the reference, “Asked by &lt;reviewer&gt;, Beiersdorf”, the question, the due date and “Answer”. The drawer “Question from Beiersdorf” shows the question, Refers to, Due, Asked by, “Why we ask” and the conversation. “Go to …” opens the field marked “Requested by Beiersdorf”.
- Step 2: “Send to Beiersdorf” stays disabled while the answer is empty. After sending: “Your response was sent to Beiersdorf.”, “With Beiersdorf”, and the task disappears.
- Step 3: My reviews shows “1 supplier answer to check”. The point offers “Accept”, “Return to supplier”, “Close as not accepted”, “Edit” and “Close, no longer needed”. After Accept: “Accepted by &lt;name&gt; on &lt;date&gt;” under Closed, and the blocker is gone.
- Step 4: “A short reason is required.” Then the point is back with the supplier in round 2; its history shows “Returned to supplier” with reason, name and time.
- Step 5: the returned question is a task again with “More information needed”, the reason and the earlier conversation. The accepted one shows “Closed” and “No further action is needed from you.”
- Step 6: the reviewer sees the round 2 answer; the loop can repeat. RMM's drawer lists every round in time order, each with Beiersdorf or Supplier, name and time.</t>
        </is>
      </c>
      <c r="H17" s="9" t="inlineStr">
        <is>
          <t>REQ-PROC-032, REQ-PROC-033, REQ-PROC-034, REQ-PROC-035, REQ-CTL-010</t>
        </is>
      </c>
      <c r="I17" s="9" t="inlineStr">
        <is>
          <t>High</t>
        </is>
      </c>
      <c r="J17" s="10" t="inlineStr"/>
      <c r="K17" s="10" t="inlineStr"/>
      <c r="L17" s="10" t="inlineStr"/>
      <c r="M17" s="11" t="inlineStr"/>
    </row>
    <row r="18" ht="140" customHeight="1">
      <c r="A18" s="8" t="inlineStr">
        <is>
          <t>TC-17</t>
        </is>
      </c>
      <c r="B18" s="9" t="inlineStr">
        <is>
          <t>Open points – documents and “cannot provide”</t>
        </is>
      </c>
      <c r="C18" s="9" t="inlineStr">
        <is>
          <t>Supplier contact; Quality Management and Product Safety reviewers (to check)</t>
        </is>
      </c>
      <c r="D18" s="8" t="inlineStr">
        <is>
          <t>Answer a document request with a file, and say another item cannot be provided</t>
        </is>
      </c>
      <c r="E18" s="9" t="inlineStr">
        <is>
          <t>A case in review. QM sent a “Document request” on K1 “Certificate of analysis (CoA)”. Safety sent a query on another item.</t>
        </is>
      </c>
      <c r="F18" s="9" t="inlineStr">
        <is>
          <t>1. As the supplier, open the task “Document request” from “Your tasks”.
2. Choose a file. Click “Remove” next to it, choose it again, add a comment and click “Send to Beiersdorf”. Open K1 in the questionnaire.
3. Open the Safety query, choose “We cannot provide this”, type 9 characters, then a full reason, and send.
4. As the QM and the Safety reviewer, open the points.</t>
        </is>
      </c>
      <c r="G18" s="9" t="inlineStr">
        <is>
          <t>- Step 1: the drawer opens with “Upload a document” selected and lists the documents already at K1 › Certificate of analysis.
- Step 2: before sending, the file shows “not sent yet” and can be removed. After sending, it is at the CoA question with upload date and uploader, next to the earlier files.
- Step 3: with fewer than 10 characters the button stays disabled. Then the conversation shows “Cannot provide: &lt;reason&gt;”.
- Step 4: QM sees the answer with the document (file name and upload date); Safety sees “The supplier says this cannot be provided” with the reason. Both wait for the reviewer's decision.</t>
        </is>
      </c>
      <c r="H18" s="9" t="inlineStr">
        <is>
          <t>REQ-PROC-011, REQ-PROC-029, REQ-PROC-032, REQ-PROC-033</t>
        </is>
      </c>
      <c r="I18" s="9" t="inlineStr">
        <is>
          <t>High</t>
        </is>
      </c>
      <c r="J18" s="10" t="inlineStr"/>
      <c r="K18" s="10" t="inlineStr"/>
      <c r="L18" s="10" t="inlineStr"/>
      <c r="M18" s="11" t="inlineStr"/>
    </row>
    <row r="19" ht="258.8" customHeight="1">
      <c r="A19" s="8" t="inlineStr">
        <is>
          <t>TC-18</t>
        </is>
      </c>
      <c r="B19" s="9" t="inlineStr">
        <is>
          <t>Open points – edit and close</t>
        </is>
      </c>
      <c r="C19" s="9" t="inlineStr">
        <is>
          <t>Product Safety reviewer (raiser); Raw Material Manager (RMM); Supplier contact</t>
        </is>
      </c>
      <c r="D19" s="8" t="inlineStr">
        <is>
          <t>The raiser changes or closes a question; internal reasons stay internal; others cannot change it</t>
        </is>
      </c>
      <c r="E19" s="9" t="inlineStr">
        <is>
          <t>The Safety reviewer raised three points on a case in review: points 1 and 3 are not answered yet; point 2 is answered and waits for a decision.</t>
        </is>
      </c>
      <c r="F19" s="9" t="inlineStr">
        <is>
          <t>1. As the supplier, open point 1 and type an answer without sending it.
2. As the Safety reviewer, click “Edit” on point 1. Save with an empty question; then save a new wording and a later due date.
3. As the supplier, click Reload, then “Send to Beiersdorf”. Read the new wording and send again.
4. As the Safety reviewer, change the wording of point 2 with “Edit” and “Save and send again”. As the supplier, open point 2.
5. As the supplier, open point 3, type text without sending and keep the drawer open. As the Safety reviewer, click “Close” on point 3 and “Close the point” without a reason, then with an internal reason. As the supplier, click Reload.
6. As the Safety reviewer, click “Close as not accepted” on point 1 (answered in step 3) with an internal reason. As the supplier, open point 1.
7. As RMM, open the points in the review workspace (“Open points of other reviews”) and on the case page.</t>
        </is>
      </c>
      <c r="G19" s="9" t="inlineStr">
        <is>
          <t>- Step 2: “The question cannot be empty.” After saving, the point shows “Changed by the raiser” and the new due date and stays in round 1; its History lists the change.
- Step 3: the first send is held back: “Beiersdorf changed this question while you were writing. … Your text is kept.” The conversation shows the earlier wording. The second send goes through.
- Step 4: the window warns that a changed question goes back to the supplier as a new round. Point 2 is back under “Your answer needed”; the earlier answer stays in the conversation.
- Step 5: “A short internal reason is required.” Point 3 shows “Closed, no answer needed by &lt;name&gt; on &lt;date&gt;” and no longer blocks the review. The supplier's open drawer says Beiersdorf closed the question and no answer is needed, offers the unsent text to copy, and the task is gone.
- Step 6: point 1 shows “Closed as not accepted by &lt;name&gt; on &lt;date&gt;”; the supplier sees “Closed”. Neither internal reason appears in the Supplier Portal.
- Step 7: RMM sees the points read-only: “Read-only. Only &lt;raiser&gt; (Product Safety) can accept, return, edit or close this point.”</t>
        </is>
      </c>
      <c r="H19" s="9" t="inlineStr">
        <is>
          <t>REQ-PROC-033, REQ-PROC-034, REQ-PROC-035, REQ-PROC-036, REQ-ADR-001, REQ-CTL-002, REQ-CTL-010</t>
        </is>
      </c>
      <c r="I19" s="9" t="inlineStr">
        <is>
          <t>High</t>
        </is>
      </c>
      <c r="J19" s="10" t="inlineStr"/>
      <c r="K19" s="10" t="inlineStr"/>
      <c r="L19" s="10" t="inlineStr"/>
      <c r="M19" s="11" t="inlineStr"/>
    </row>
    <row r="20" ht="324.8" customHeight="1">
      <c r="A20" s="8" t="inlineStr">
        <is>
          <t>TC-19</t>
        </is>
      </c>
      <c r="B20" s="9" t="inlineStr">
        <is>
          <t>RMES</t>
        </is>
      </c>
      <c r="C20" s="9" t="inlineStr">
        <is>
          <t>Product Safety reviewer (repeat as Regulatory Affairs); RMM, Quality Management reviewer and Supplier contact (to check)</t>
        </is>
      </c>
      <c r="D20" s="8" t="inlineStr">
        <is>
          <t>RMES: 8 fields filled automatically from the CIQ, following the supplier's changes, for Safety and Regulatory only</t>
        </is>
      </c>
      <c r="E20" s="9" t="inlineStr">
        <is>
          <t>A case in review with Safety and Regulatory tasks; the final release is not requested yet. K2.1 has at least three components: two of one origin (e.g. Vegetable (bio mass)), one of another, one without CAS and EC number. K2.3 and “Manufacturer (name and address)” are answered.</t>
        </is>
      </c>
      <c r="F20" s="9" t="inlineStr">
        <is>
          <t>1. As the Safety reviewer, open the case from My reviews and click the tab “RMES”.
2. Read the header fields and click the source line under Manufacturer. Go back.
3. Read the Composition table and the line below it. Click the source line of one Free text.
4. Look for anything on the tab that you can type, choose or record.
5. As the supplier, change the manufacturer, one component's concentration and one origin's specification in K2.3, and add a component of an origin already used. As the Safety reviewer, click Reload and open the RMES tab.
6. As the Regulatory reviewer, open the RMES tab. As RMM and the QM reviewer, open the case. As the supplier, open the request.
7. (After the final release, TC-22.) Open the completed case's RMES tab.</t>
        </is>
      </c>
      <c r="G20" s="9" t="inlineStr">
        <is>
          <t>- Step 1: “Raw Material Evaluation Sheet”, marked internal (never visible to the supplier) and filled automatically from the CIQ, with “Record created &lt;date, time&gt;”.
- Step 2: three header fields: Raw material / tradename, Supplier, and Manufacturer (the supplier's answer, not the supplier's name). Each shows its CIQ source and “as of &lt;date, time&gt;”; unanswered reads “Not answered yet”, not provided reads “Cannot provide: &lt;justification&gt;”. The source line opens the Questionnaire tab at General.
- Step 3: one row per K2.1 component, in the same order: #, INCI, %, CAS #, EC #, Source of origin and Free text. % shows the CIQ range (e.g. “90–99 %”); a blank CAS # or EC # shows “—”. Free text shows the origin's specification from K2.3; rows that share it are marked “*”, explained below the table. The source line opens K2.3.
- Step 4: nothing can be edited; no criteria, limit checks, findings or decision.
- Step 5: the sheet shows all new values without anyone copying them, with a new “as of” time. Nothing has to be confirmed or saved.
- Step 6: Regulatory sees the same sheet. RMM and QM have no RMES tab or card. The supplier sees nothing of the RMES, not even the word.
- Step 7: the sheet shows exactly the released values; they no longer change.
- If the tab says your role cannot read this case's questionnaire, record Blocked and name the role.</t>
        </is>
      </c>
      <c r="H20" s="9" t="inlineStr">
        <is>
          <t>REQ-PROC-016, REQ-PROC-021, REQ-PROC-022, REQ-CFG-004, REQ-RMES-015</t>
        </is>
      </c>
      <c r="I20" s="9" t="inlineStr">
        <is>
          <t>High</t>
        </is>
      </c>
      <c r="J20" s="10" t="inlineStr"/>
      <c r="K20" s="10" t="inlineStr"/>
      <c r="L20" s="10" t="inlineStr"/>
      <c r="M20" s="11" t="inlineStr"/>
    </row>
    <row r="21" ht="272" customHeight="1">
      <c r="A21" s="8" t="inlineStr">
        <is>
          <t>TC-20</t>
        </is>
      </c>
      <c r="B21" s="9" t="inlineStr">
        <is>
          <t>Safety and Regulatory decision</t>
        </is>
      </c>
      <c r="C21" s="9" t="inlineStr">
        <is>
          <t>Product Safety reviewer (repeat as Regulatory Affairs); Raw Material Manager (RMM); Supplier contact (to check)</t>
        </is>
      </c>
      <c r="D21" s="8" t="inlineStr">
        <is>
          <t>Record the Safety/Regulatory decision; a rejection goes to RMM, who decides how the case goes on</t>
        </is>
      </c>
      <c r="E21" s="9" t="inlineStr">
        <is>
          <t>Cases 1 and 2 are in review with a Safety task and their RMES record (TC-19); no Safety open point and no Safety decision yet. On case 2, RMM's own review is open.</t>
        </is>
      </c>
      <c r="F21" s="9" t="inlineStr">
        <is>
          <t>1. On case 1, in the review workspace, read the bottom bar and its blocking items. Click “Record the decision”.
2. In the card “Safety decision”, choose “Approved”, add a comment and click “Record approval”. Click “Change decision”, then “Cancel”.
3. Open the RMES tab. Then click “Complete my review”.
4. As the Regulatory reviewer, open case 1's workspace. As RMM, open case 1 &gt; Overview.
5. On case 2, as the Safety reviewer, choose “Rejected” and click “Record rejection” without a reason. Then record it with a reason and complete the review.
6. As RMM, open the Dashboard, then case 2. Click “Decide in my review”, then “Choose how to go on”.
7. Keep “Continue to final release” and click “Continue and complete my review”, first with an empty note, then with what was agreed with Safety.
8. As the supplier, open both requests.</t>
        </is>
      </c>
      <c r="G21" s="9" t="inlineStr">
        <is>
          <t>- Step 1: “Safety decision: not recorded yet” and “Internal: the supplier never sees it.”; the decision is listed as blocking. The button opens the card “Safety decision” on the Questionnaire tab.
- Step 2: the card shows “Approved” with comment, name and time; the bar shows “Nothing blocks your review”.
- Step 3: the RMES tab shows only the 8 fields, not the decision. Then “Product Safety review completed” with name, e-mail, time and “not a raw-material approval”.
- Step 4: Regulatory has only its own decision card. RMM's Reviews shows Product Safety “Completed” with “Decision: Approved”.
- Step 5: “A rejection needs a reason.”
- Step 6: the Dashboard shows “Department rejected” with the reason; the case page a red banner with “Decide in my review” and “Cancel the case”. The bar reads “Safety recorded Rejected. Choose how the case goes on before you complete.”
- Step 7: “Write down what you agreed.” Then RMM's review is completed with “Continued to the final release despite the Rejected decision of Safety: &lt;note&gt;”. (“Cancel the case” instead cancels the case with a justification, TC-26.)
- Step 8: the supplier sees no decision, reason or note.</t>
        </is>
      </c>
      <c r="H21" s="9" t="inlineStr">
        <is>
          <t>REQ-PROC-015, REQ-PROC-038, REQ-PROC-039, REQ-RMES-013, REQ-RMES-014, REQ-RMES-015, REQ-CTL-002</t>
        </is>
      </c>
      <c r="I21" s="9" t="inlineStr">
        <is>
          <t>High</t>
        </is>
      </c>
      <c r="J21" s="10" t="inlineStr"/>
      <c r="K21" s="10" t="inlineStr"/>
      <c r="L21" s="10" t="inlineStr"/>
      <c r="M21" s="11" t="inlineStr"/>
    </row>
    <row r="22" ht="166.4" customHeight="1">
      <c r="A22" s="8" t="inlineStr">
        <is>
          <t>TC-21</t>
        </is>
      </c>
      <c r="B22" s="9" t="inlineStr">
        <is>
          <t>Review completion</t>
        </is>
      </c>
      <c r="C22" s="9" t="inlineStr">
        <is>
          <t>Quality Management reviewer (repeat for Microbiology and Regulatory Affairs, and for Sustainability on a case with the EUDR question answered Yes); Supplier contact (to check)</t>
        </is>
      </c>
      <c r="D22" s="8" t="inlineStr">
        <is>
          <t>Open items block the completion; complete the review once they are resolved</t>
        </is>
      </c>
      <c r="E22" s="9" t="inlineStr">
        <is>
          <t>A case in review. The QM reviewer has one point with the supplier and one point answered by the supplier.</t>
        </is>
      </c>
      <c r="F22" s="9" t="inlineStr">
        <is>
          <t>1. In the review workspace, read the bottom bar. Expand the blocking items and click one.
2. Resolve both points (accept or close).
3. Read the bar again and click “Complete my review”.
4. Open My reviews &gt; Completed, and the case page &gt; Overview.
5. As the supplier, open the request.</t>
        </is>
      </c>
      <c r="G22" s="9" t="inlineStr">
        <is>
          <t>- Step 1: “2 items block your completion”; “Complete my review” is disabled. Each item names its point, reference, status and responsible person, and jumps to the point. For Regulatory Affairs the decision is listed too until it is recorded (TC-20).
- Step 3: “Nothing blocks your review”, with the note that completing is not a raw-material approval and the reviews still open before the final-release request goes out. Then “Quality Management review completed” with name, e-mail and time.
- Step 4: the case is under Completed; Overview shows QM “Completed” and Confirmations its review completion.
- Step 5: the request stays “Beiersdorf is reviewing”; the supplier gets no message.</t>
        </is>
      </c>
      <c r="H22" s="9" t="inlineStr">
        <is>
          <t>REQ-PROC-015, REQ-PROC-036, REQ-PROC-038, REQ-PROC-040, REQ-CTL-006</t>
        </is>
      </c>
      <c r="I22" s="9" t="inlineStr">
        <is>
          <t>High</t>
        </is>
      </c>
      <c r="J22" s="10" t="inlineStr"/>
      <c r="K22" s="10" t="inlineStr"/>
      <c r="L22" s="10" t="inlineStr"/>
      <c r="M22" s="11" t="inlineStr"/>
    </row>
    <row r="23" ht="245.6" customHeight="1">
      <c r="A23" s="8" t="inlineStr">
        <is>
          <t>TC-22</t>
        </is>
      </c>
      <c r="B23" s="9" t="inlineStr">
        <is>
          <t>Final release</t>
        </is>
      </c>
      <c r="C23" s="9" t="inlineStr">
        <is>
          <t>Raw Material Manager (RMM); Supplier contacts A (may confirm) and B (may not confirm)</t>
        </is>
      </c>
      <c r="D23" s="8" t="inlineStr">
        <is>
          <t>The last completed review sends one final-release request; the supplier gives the final release</t>
        </is>
      </c>
      <c r="E23" s="9" t="inlineStr">
        <is>
          <t>Every department review on the case is completed. RMM's own review is open, with no open RMM point.</t>
        </is>
      </c>
      <c r="F23" s="9" t="inlineStr">
        <is>
          <t>1. As RMM, open the case's review workspace, read the bottom bar and click “Complete my review”.
2. Open the case page (phase, status strip, History) and the Dashboard.
3. As contact A, open the request. Try to change an answer or upload a file.
4. As contact B, open the request.
5. As contact A, click “Give final release”. Click “Give final release” in the window without ticking the statement, then tick it and click again.
6. Check My requests. As RMM, open the case and click Reload.</t>
        </is>
      </c>
      <c r="G23" s="9" t="inlineStr">
        <is>
          <t>- Step 1: “You are the last open review: completing sends the final-release request to the supplier and locks its questionnaire.”
- Step 2: the phase is “Awaiting final release”, “With supplier”. History shows that all reviews completed and one final-release request went out. The Dashboard shows “Release pending”.
- Step 3: the task “Give the final release” and the card “Final release needed” appear. The release card lists the sections, documents, the completeness confirmation, the questions closed and the due date. “Your questionnaire (locked)”: no inputs, uploads, “Remove” or justification links.
- Step 4: B sees “&lt;A&gt; can give the final release for your company.”
- Step 5: the window says the information is correct and complete and the CIQ will be frozen, with Released by, E-mail, On behalf of and Time. The button stays disabled until the box is ticked. Then “Final release recorded. The CIQ is now frozen.”
- Step 6: the card is under “Closed” with “Completed”. RMM sees the case “Completed” without any Beiersdorf action (TC-23).
- No decision, RMES content or internal note is shown to the supplier.</t>
        </is>
      </c>
      <c r="H23" s="9" t="inlineStr">
        <is>
          <t>REQ-PROC-015, REQ-PROC-040, REQ-PROC-042, REQ-PROC-043, REQ-PROC-045, REQ-CTL-002, REQ-CTL-010</t>
        </is>
      </c>
      <c r="I23" s="9" t="inlineStr">
        <is>
          <t>High</t>
        </is>
      </c>
      <c r="J23" s="10" t="inlineStr"/>
      <c r="K23" s="10" t="inlineStr"/>
      <c r="L23" s="10" t="inlineStr"/>
      <c r="M23" s="11" t="inlineStr"/>
    </row>
    <row r="24" ht="338" customHeight="1">
      <c r="A24" s="8" t="inlineStr">
        <is>
          <t>TC-23</t>
        </is>
      </c>
      <c r="B24" s="9" t="inlineStr">
        <is>
          <t>Final release – completed case and final document</t>
        </is>
      </c>
      <c r="C24" s="9" t="inlineStr">
        <is>
          <t>Raw Material Manager (RMM); department reviewer; Supplier contact (to check)</t>
        </is>
      </c>
      <c r="D24" s="8" t="inlineStr">
        <is>
          <t>After the release the case completes, and the final document is created and sent automatically</t>
        </is>
      </c>
      <c r="E24" s="9" t="inlineStr">
        <is>
          <t>TC-22 done: the supplier gave the final release. You can read the mailbox of a member of the RMM role. Steps 5–6 need the update that switches on the automatic final document in the test environment; until it is in place, record Blocked.</t>
        </is>
      </c>
      <c r="F24" s="9" t="inlineStr">
        <is>
          <t>1. As RMM, open the case. Check the phase, the green banner and Overview &gt; Confirmations.
2. Click “Open final document”, read all parts and click “Download PDF”.
3. Open Cases &gt; Completed and the Dashboard.
4. As a department reviewer, open the case from My reviews &gt; Completed.
5. A few minutes after the release, check the RMM mailbox. Reload the case and open History.
6. As the supplier, open the released request. Click Reload until the card “Final document” appears, then click “Download final PDF”.</t>
        </is>
      </c>
      <c r="G24" s="9" t="inlineStr">
        <is>
          <t>- Step 1: “Completed”, with all four steps done; the green banner says the final document was created automatically at the final release and sent to the case owner. Confirmations lists separately the completeness confirmation, each review completion and the final release; none is a raw-material approval.
- Step 2: “CIQ final document” with the case ID and “Document seal: unchanged”: the released answers by section with the metadata answers, the K2.1 composition, the evidence list with upload dates, every open point round by round and all confirmations. No RMES content, decision or internal note; it cannot be changed. “Download PDF” saves “&lt;case ID&gt;-final-document.pdf”.
- Step 3: the case is under Completed and no longer in “My cases”.
- Step 4: the workspace says the case is completed and the CIQ frozen; no “Reopen my review”.
- Step 5: each member of the RMM role, not only the case owner, receives “&lt;case ID&gt;: final document ready” with the PDF attached, which shows the same document seal as the footer of the Final document tab. History shows “Generated final document”.
- Step 6: “Your released questionnaire” cannot be changed. Until the copy is filed: “Your copy of the final PDF appears here once Beiersdorf has filed it. Reload to check.” The supplier's PDF shows Beiersdorf people only as “Beiersdorf” and their role, without names or e-mail addresses.
- A completed case cannot be reopened; a later change starts a new case (TC-25).</t>
        </is>
      </c>
      <c r="H24" s="9" t="inlineStr">
        <is>
          <t>REQ-PROC-015, REQ-PROC-042, REQ-PROC-043, REQ-PROC-045, REQ-PROC-046</t>
        </is>
      </c>
      <c r="I24" s="9" t="inlineStr">
        <is>
          <t>High</t>
        </is>
      </c>
      <c r="J24" s="10" t="inlineStr"/>
      <c r="K24" s="10" t="inlineStr"/>
      <c r="L24" s="10" t="inlineStr"/>
      <c r="M24" s="11" t="inlineStr"/>
    </row>
    <row r="25" ht="179.6" customHeight="1">
      <c r="A25" s="8" t="inlineStr">
        <is>
          <t>TC-24</t>
        </is>
      </c>
      <c r="B25" s="9" t="inlineStr">
        <is>
          <t>Final release – reopen</t>
        </is>
      </c>
      <c r="C25" s="9" t="inlineStr">
        <is>
          <t>Raw Material Manager (RMM); Supplier contact</t>
        </is>
      </c>
      <c r="D25" s="8" t="inlineStr">
        <is>
          <t>Reopen a review while the final release is requested</t>
        </is>
      </c>
      <c r="E25" s="9" t="inlineStr">
        <is>
          <t>A case is “Awaiting final release”; the supplier has not released yet.</t>
        </is>
      </c>
      <c r="F25" s="9" t="inlineStr">
        <is>
          <t>1. As RMM, open the case's workspace from My reviews &gt; Completed. Click “Reopen my review” and read the panel.
2. Leave the reason empty, then enter one and click “Reopen and withdraw the release request”.
3. Open the case page and History.
4. As the supplier, open the request and change an answer.
5. As RMM, look at the change in the workspace and click “Complete my review” again.
6. As the supplier, check the request.</t>
        </is>
      </c>
      <c r="G25" s="9" t="inlineStr">
        <is>
          <t>- Step 1: the panel says the release request is withdrawn and the questionnaire unlocks, and the request goes out again once every review has completed.
- Step 2: the button stays disabled until a reason is entered.
- Step 3: the phase is back to “Review (RMM and departments)”; the RMM review shows “Reopened”. History shows the reason and the withdrawn release request.
- Step 4: the release task and card are gone, the status is “Beiersdorf is reviewing”, and answers can be changed again. The reason is not shown.
- Step 5: RMM sees the changed answer marked with name and date. Completing sends one new release request.
- Step 6: a new release task arrives; the questionnaire is locked again.</t>
        </is>
      </c>
      <c r="H25" s="9" t="inlineStr">
        <is>
          <t>REQ-PROC-016, REQ-PROC-040, REQ-PROC-042, REQ-CTL-009, REQ-CTL-010</t>
        </is>
      </c>
      <c r="I25" s="9" t="inlineStr">
        <is>
          <t>High</t>
        </is>
      </c>
      <c r="J25" s="10" t="inlineStr"/>
      <c r="K25" s="10" t="inlineStr"/>
      <c r="L25" s="10" t="inlineStr"/>
      <c r="M25" s="11" t="inlineStr"/>
    </row>
    <row r="26" ht="258.8" customHeight="1">
      <c r="A26" s="8" t="inlineStr">
        <is>
          <t>TC-25</t>
        </is>
      </c>
      <c r="B26" s="9" t="inlineStr">
        <is>
          <t>After the release</t>
        </is>
      </c>
      <c r="C26" s="9" t="inlineStr">
        <is>
          <t>Supplier contact; Raw Material Manager (RMM)</t>
        </is>
      </c>
      <c r="D26" s="8" t="inlineStr">
        <is>
          <t>View the released CIQ, report a change, and start a follow-up case</t>
        </is>
      </c>
      <c r="E26" s="9" t="inlineStr">
        <is>
          <t>A completed case; at least one question was asked and closed during the review.</t>
        </is>
      </c>
      <c r="F26" s="9" t="inlineStr">
        <is>
          <t>1. As the supplier, click “View” on the request under “Closed”. Read the banner, “Your confirmations” and “Questions and answers”.
2. Try to change an answer or upload a file.
3. Click “Report a change” and fill only “What has changed?”. Then fill “Why, and from when?”, choose a section and click “Send to Beiersdorf”.
4. As RMM, open the completed case, click Reload and read the card “Change reported after the release”.
5. Click “Start a new case” and check the pre-filled New case page. Go back and open the completed case's Final document.</t>
        </is>
      </c>
      <c r="G26" s="9" t="inlineStr">
        <is>
          <t>- Step 1: “Completed”, “Released &lt;date&gt;” and “Released and filed by Beiersdorf”; the banner “Released on &lt;date&gt; by &lt;name&gt;. Beiersdorf has filed the final document.” “Your confirmations” lists the completeness confirmation and the final release, and no department completion; “Questions and answers” every question with its conversation, read-only.
- Step 2: every section shows “Frozen with your final release”, with no inputs, uploads or “Remove”.
- Step 3: “Send to Beiersdorf” stays disabled until both required fields are filled. Then “Thank you. Beiersdorf has been told and will contact you if a new questionnaire is needed.”; “Changes you reported” shows name, time and text. The released questionnaire is unchanged.
- Step 4: the card shows the supplier's text, contact and time, and says the released CIQ stays unchanged and a new case asks for a new questionnaire.
- Step 5: New case opens with “Follow-up of &lt;case ID&gt;: …”, the reported text, and supplier, contacts, trade name, INCI, BDF material no. and markets pre-filled. The completed case stays Completed; its final document still shows “Document seal: unchanged”.</t>
        </is>
      </c>
      <c r="H26" s="9" t="inlineStr">
        <is>
          <t>REQ-PROC-015, REQ-PROC-033, REQ-PROC-042, REQ-PROC-043</t>
        </is>
      </c>
      <c r="I26" s="9" t="inlineStr">
        <is>
          <t>Medium</t>
        </is>
      </c>
      <c r="J26" s="10" t="inlineStr"/>
      <c r="K26" s="10" t="inlineStr"/>
      <c r="L26" s="10" t="inlineStr"/>
      <c r="M26" s="11" t="inlineStr"/>
    </row>
    <row r="27" ht="179.6" customHeight="1">
      <c r="A27" s="8" t="inlineStr">
        <is>
          <t>TC-26</t>
        </is>
      </c>
      <c r="B27" s="9" t="inlineStr">
        <is>
          <t>Case cancellation</t>
        </is>
      </c>
      <c r="C27" s="9" t="inlineStr">
        <is>
          <t>Raw Material Manager (RMM); department reviewer; Supplier contact</t>
        </is>
      </c>
      <c r="D27" s="8" t="inlineStr">
        <is>
          <t>Cancel a running case with a justification</t>
        </is>
      </c>
      <c r="E27" s="9" t="inlineStr">
        <is>
          <t>A case in review with open review tasks and one open question for the supplier. Reactivating a cancelled case is not part of these tests; do not use “Reactivate”.</t>
        </is>
      </c>
      <c r="F27" s="9" t="inlineStr">
        <is>
          <t>1. As RMM, open the case and click “Cancel case”. Read the window.
2. Click “Cancel case” without a justification.
3. Pick a suggested reason (e.g. “Raw material no longer relevant”) or type one, and click “Cancel case”.
4. Check the banner, Overview &gt; Reviews and the Open points tab. Open Cases &gt; Cancelled.
5. As a department reviewer, open My reviews and the case's workspace.
6. As the supplier, click “View” on the request and try to edit, upload or answer.</t>
        </is>
      </c>
      <c r="G27" s="9" t="inlineStr">
        <is>
          <t>- Step 1: the window “Cancel &lt;case ID&gt;?” says cancelling ends every open task (supplier, reviews, open points) and keeps data and history.
- Step 2: “A justification is required to cancel the case.”
- Step 4: the banner reads “Cancelled on &lt;date&gt; by &lt;name&gt;” with the justification. Unfinished reviews show “Ended (case cancelled)”; open points “Withdrawn with the case cancellation”. The case is under Cancelled.
- Step 5: the case is gone from To review and Waiting for supplier; the workspace says every task has ended.
- Step 6: all tasks are gone, including the question. The card is under “Closed” with “Withdrawn by Beiersdorf”; the banner reads “Beiersdorf has withdrawn this request”; every section is read-only.
- A completed case has no “Cancel case” button.</t>
        </is>
      </c>
      <c r="H27" s="9" t="inlineStr">
        <is>
          <t>REQ-PROC-049, REQ-CTL-003, REQ-CTL-009, REQ-CTL-010</t>
        </is>
      </c>
      <c r="I27" s="9" t="inlineStr">
        <is>
          <t>High</t>
        </is>
      </c>
      <c r="J27" s="10" t="inlineStr"/>
      <c r="K27" s="10" t="inlineStr"/>
      <c r="L27" s="10" t="inlineStr"/>
      <c r="M27" s="11" t="inlineStr"/>
    </row>
    <row r="28" ht="113.6" customHeight="1">
      <c r="A28" s="8" t="inlineStr">
        <is>
          <t>TC-27</t>
        </is>
      </c>
      <c r="B28" s="9" t="inlineStr">
        <is>
          <t>Internal notes</t>
        </is>
      </c>
      <c r="C28" s="9" t="inlineStr">
        <is>
          <t>Product Safety reviewer; Quality Management reviewer; Raw Material Manager (RMM); Supplier contact (to check)</t>
        </is>
      </c>
      <c r="D28" s="8" t="inlineStr">
        <is>
          <t>Internal notes between departments are never visible to the supplier</t>
        </is>
      </c>
      <c r="E28" s="9" t="inlineStr">
        <is>
          <t>A case in review with Safety and QM tasks.</t>
        </is>
      </c>
      <c r="F28" s="9" t="inlineStr">
        <is>
          <t>1. As the Safety reviewer, open a section (e.g. K2.2) in the review workspace.
2. In “Internal notes”, write a note that mentions a QM colleague with @. Keep “Link to K2.2” ticked and click “Add note”.
3. As that QM reviewer, open the case's workspace and the case page &gt; Internal notes. Add a note for “Whole case”.
4. As RMM, open the case page &gt; Internal notes and add a note.
5. As the supplier, open the request and every question.</t>
        </is>
      </c>
      <c r="G28" s="9" t="inlineStr">
        <is>
          <t>- The card reads “Beiersdorf only, never visible to the supplier”.
- Step 2: the note shows author, department, time and a K2.2 link that opens the section.
- Step 3: the colleague sees “Mentions you”. The Internal notes tab lists all notes in time order with author, time and linked section.
- Step 4: RMM reads all notes and can add notes.
- Step 5: no note text or note count appears anywhere in the Supplier Portal.</t>
        </is>
      </c>
      <c r="H28" s="9" t="inlineStr">
        <is>
          <t>REQ-PROC-020, REQ-CTL-002, REQ-CFG-004</t>
        </is>
      </c>
      <c r="I28" s="9" t="inlineStr">
        <is>
          <t>High</t>
        </is>
      </c>
      <c r="J28" s="10" t="inlineStr"/>
      <c r="K28" s="10" t="inlineStr"/>
      <c r="L28" s="10" t="inlineStr"/>
      <c r="M28" s="11" t="inlineStr"/>
    </row>
    <row r="29" ht="166.4" customHeight="1">
      <c r="A29" s="8" t="inlineStr">
        <is>
          <t>TC-28</t>
        </is>
      </c>
      <c r="B29" s="9" t="inlineStr">
        <is>
          <t>Access and data separation</t>
        </is>
      </c>
      <c r="C29" s="9" t="inlineStr">
        <is>
          <t>Supplier contacts of two suppliers; portal user without the Supplier role; Business administrator</t>
        </is>
      </c>
      <c r="D29" s="8" t="inlineStr">
        <is>
          <t>Each contact sees only its own requests and never Beiersdorf-internal content</t>
        </is>
      </c>
      <c r="E29" s="9" t="inlineStr">
        <is>
          <t>Supplier X (e.g. supplier A): contact A is named on request R1, contact B only on R2, contact D on no request. Here A, B and C may confirm and release; D is the contact marked “May not confirm”. Supplier Y: contact C is named on R3. On R1, reviewers wrote internal notes, recorded decisions and asked a question. User E has a portal account without the Supplier role.</t>
        </is>
      </c>
      <c r="F29" s="9" t="inlineStr">
        <is>
          <t>1. Sign in as A, then B, then C, and check My requests (open and Closed).
2. As A, open R1 and the question from Beiersdorf. Read the Help page.
3. Sign in as E.
4. As the Business administrator, deactivate contact D (as in TC-01). Then sign in as D. Afterwards, reactivate D.</t>
        </is>
      </c>
      <c r="G29" s="9" t="inlineStr">
        <is>
          <t>- Step 1: A sees R1 and only other requests naming A. B sees R2 but not R1. C sees only R3.
- Step 2: on R1 there are no department names, review statuses or decisions, nothing of the RMES, no internal notes or reasons and no rule numbers. The question shows only its reference, question, justification and due date.
- Step 3: E sees “No access to the supplier portal”, asking to contact Beiersdorf for an invitation.
- Step 4: D sees no request (“No requests yet”).</t>
        </is>
      </c>
      <c r="H29" s="9" t="inlineStr">
        <is>
          <t>REQ-CTL-002, REQ-CFG-004, REQ-PROC-004, REQ-PROC-020, REQ-PROC-021, REQ-RMES-015</t>
        </is>
      </c>
      <c r="I29" s="9" t="inlineStr">
        <is>
          <t>High</t>
        </is>
      </c>
      <c r="J29" s="10" t="inlineStr"/>
      <c r="K29" s="10" t="inlineStr"/>
      <c r="L29" s="10" t="inlineStr"/>
      <c r="M29" s="11" t="inlineStr"/>
    </row>
    <row r="30" ht="140" customHeight="1">
      <c r="A30" s="8" t="inlineStr">
        <is>
          <t>TC-29</t>
        </is>
      </c>
      <c r="B30" s="9" t="inlineStr">
        <is>
          <t>Due dates and overdue items</t>
        </is>
      </c>
      <c r="C30" s="9" t="inlineStr">
        <is>
          <t>Supplier contact; Raw Material Manager (RMM); department reviewer</t>
        </is>
      </c>
      <c r="D30" s="8" t="inlineStr">
        <is>
          <t>Due dates and overdue items on both sides</t>
        </is>
      </c>
      <c r="E30" s="9" t="inlineStr">
        <is>
          <t>Request R1 is being filled in and is due in 2 days. Request R2 has an open Safety question whose due date has passed.</t>
        </is>
      </c>
      <c r="F30" s="9" t="inlineStr">
        <is>
          <t>1. As the supplier, look at the due dates on My requests, then at R1's header.
2. Let R1's due date pass without confirming completeness. Open My requests and R1 again.
3. As RMM, open the Dashboard and read the tiles and “Needs your action”.
4. As the Safety reviewer, open My reviews.</t>
        </is>
      </c>
      <c r="G30" s="9" t="inlineStr">
        <is>
          <t>- Step 1: every task and card shows “Due &lt;date&gt;”; a card with open questions shows the earliest question due date. R1's header shows “in 2 days”.
- Step 2: overdue items show “Overdue · &lt;date&gt;” on cards and “overdue by N days” in the header, highlighted.
- Step 3: the tile “Overdue open points” counts R2's question. “Needs your action” shows “Overdue at supplier” for R2 and for R1 (“The supplier has not confirmed completeness by the due date”).
- Step 4: “1 of your open points is overdue at the supplier”; the case row shows “1 overdue”.</t>
        </is>
      </c>
      <c r="H30" s="9" t="inlineStr">
        <is>
          <t>REQ-ADR-001, REQ-CTL-003, REQ-CTL-006, REQ-CTL-010</t>
        </is>
      </c>
      <c r="I30" s="9" t="inlineStr">
        <is>
          <t>Medium</t>
        </is>
      </c>
      <c r="J30" s="10" t="inlineStr"/>
      <c r="K30" s="10" t="inlineStr"/>
      <c r="L30" s="10" t="inlineStr"/>
      <c r="M30" s="11" t="inlineStr"/>
    </row>
    <row r="31" ht="219.2" customHeight="1">
      <c r="A31" s="8" t="inlineStr">
        <is>
          <t>TC-30</t>
        </is>
      </c>
      <c r="B31" s="9" t="inlineStr">
        <is>
          <t>Overview – Dashboard and Cases</t>
        </is>
      </c>
      <c r="C31" s="9" t="inlineStr">
        <is>
          <t>Raw Material Manager (RMM); department reviewer</t>
        </is>
      </c>
      <c r="D31" s="8" t="inlineStr">
        <is>
          <t>The Dashboard shows what needs RMM's action; the Cases register finds every case</t>
        </is>
      </c>
      <c r="E31" s="9" t="inlineStr">
        <is>
          <t>The RMM user owns running cases with the supplier, in review and waiting for the final release; a second RMM owns at least one case. Completed and cancelled cases exist, for two or more suppliers.</t>
        </is>
      </c>
      <c r="F31" s="9" t="inlineStr">
        <is>
          <t>1. As RMM, open the Dashboard. Read the header and the four tiles.
2. In “Needs your action”, click each filter chip, switch between “My cases” and “All owners”, and click the button on one item.
3. Go back and click the tile “With supplier”.
4. Open Cases and click the tabs Open, Part 1, Part 2, Completed and Cancelled.
5. On Open, search by a DUNS number, a main INCI and a BDF material no. Try each filter and “Overdue only”, then click “Clear”.
6. Click a case row. As a department reviewer with a task on one case, open Cases and click that row.</t>
        </is>
      </c>
      <c r="G31" s="9" t="inlineStr">
        <is>
          <t>- Step 1: a greeting with your first name, today's date and “You own N open cases; M items need your action.” The tiles “My open cases”, “With supplier”, “With Beiersdorf” and “Overdue open points” show counts.
- Step 2: the most urgent come first, labelled e.g. “My review”, “Release pending”, “Overdue at supplier” or “Department rejected”. Each chip filters; “All owners” adds the other owner's items. The button opens the review workspace or the case page.
- Step 3: Cases opens filtered to my cases waiting on the supplier.
- Step 4: each tab shows its count and a one-line explanation.
- Step 5: the search finds the case by DUNS number, INCI or material no. Each filter narrows the rows (none: “No cases match these filters”); “Clear” removes them. The footer reads “Showing X of Y cases”.
- Step 6: RMM's click opens the case page. For the reviewer, Cases is read-only, the click opens the review workspace, and there is no “New case”.</t>
        </is>
      </c>
      <c r="H31" s="9" t="inlineStr">
        <is>
          <t>REQ-PROC-006, REQ-PROC-036, REQ-CTL-003, REQ-CTL-006</t>
        </is>
      </c>
      <c r="I31" s="9" t="inlineStr">
        <is>
          <t>Medium</t>
        </is>
      </c>
      <c r="J31" s="10" t="inlineStr"/>
      <c r="K31" s="10" t="inlineStr"/>
      <c r="L31" s="10" t="inlineStr"/>
      <c r="M31" s="11" t="inlineStr"/>
    </row>
    <row r="32" ht="364.4" customHeight="1">
      <c r="A32" s="8" t="inlineStr">
        <is>
          <t>TC-31</t>
        </is>
      </c>
      <c r="B32" s="9" t="inlineStr">
        <is>
          <t>Administration – configuration</t>
        </is>
      </c>
      <c r="C32" s="9" t="inlineStr">
        <is>
          <t>Business administrator; RMM and Supplier contact (to check)</t>
        </is>
      </c>
      <c r="D32" s="8" t="inlineStr">
        <is>
          <t>The Business administrator changes and publishes the configuration, including which documents are mandatory</t>
        </is>
      </c>
      <c r="E32" s="9" t="inlineStr">
        <is>
          <t>Do this test last: once published, new cases use the new version, so step 10 sets it back. No draft version is open; at least one case is running. Steps 4–8 need the update with mandatory and optional documents: if “Upload required?” is not offered in step 4, click “Discard draft” and record Blocked.</t>
        </is>
      </c>
      <c r="F32" s="9" t="inlineStr">
        <is>
          <t>1. As the Business administrator, open Rules: read the version panel and the rules. In “Test rules” &gt; “Try one material”, set the origin to Vegetable.
2. Open Section owners and find K2.2.
3. On Rules, click “Create new version”, leave the note empty and click “Create draft”.
4. On Questionnaire, open a “Documents only” section (e.g. K3 Storage conditions and handling), click “Edit settings”, set “Upload required?” to Mandatory and save.
5. On Rules, edit the rule for Vegetable origin. Under “Ask for evidence”, add “UAT test document (mandatory)” and “UAT test document (optional)” with “Not in the list?”. Keep the first Mandatory, set the second to Optional, and save.
6. Click “Check &amp; publish”. Try to publish without a change note, then with one.
7. As RMM, start a new case (as in TC-04). As its supplier contact, select origin Vegetable, open K3 and the section with the two test documents, and click “Check completeness”.
8. Upload a file in K3. At the mandatory test document, click “Cannot provide? Add a justification” and write a reason. Click “Check completeness” again.
9. As RMM, open a case started before step 6: Overview &gt; Case facts.
10. As the Business administrator, create a new version, set K3 “Upload required?” back to Optional, remove the two test documents from the Vegetable rule, and publish with the change note “UAT clean-up”.</t>
        </is>
      </c>
      <c r="G32" s="9" t="inlineStr">
        <is>
          <t>- Step 1: Rules shows the published version with date and change note; each rule is a sentence tied to its metadata question and the sections it switches on. “Try one material” lists A1, A2 and A9 as mandatory, the evidence to upload and who reviews; nothing is saved.
- Step 2: K2.2 is led by Safety with QM as co-reviewer; Customs and Legal are informed.
- Step 3: the bar shows “Draft”; the published version stays in use for new cases until the draft is published.
- Step 4: Mandatory means the supplier must upload at least one document there, or say why they cannot, before confirming completeness. The section shows “Documents only · mandatory upload”.
- Step 5: Mandatory “Blocks the completeness confirmation until uploaded or justified”; Optional “The supplier may leave it out”. The window names the section where each document is uploaded.
- Step 6: “To publish: write a change note.” After publishing, the version history shows the new questionnaire and rule-set versions, used for new cases.
- Step 7: K3 shows “Documents · mandatory upload”. The completeness check lists K3 and the mandatory test document; the optional one is marked “Optional” and never blocks.
- Step 8: K3 and the mandatory test document are no longer listed.
- Step 9: the earlier case keeps the questionnaire and rule-set versions it started with.
- Step 10: the version history shows “UAT clean-up” as the newest version; K3 is optional again and new cases no longer ask for the test documents.</t>
        </is>
      </c>
      <c r="H32" s="9" t="inlineStr">
        <is>
          <t>REQ-CFG-001, REQ-CFG-002, REQ-CFG-003, REQ-CFG-004, REQ-CFG-006, REQ-PROC-009, REQ-PROC-010</t>
        </is>
      </c>
      <c r="I32" s="9" t="inlineStr">
        <is>
          <t>Medium</t>
        </is>
      </c>
      <c r="J32" s="10" t="inlineStr"/>
      <c r="K32" s="10" t="inlineStr"/>
      <c r="L32" s="10" t="inlineStr"/>
      <c r="M32" s="11" t="inlineStr"/>
    </row>
    <row r="33"/>
    <row r="34"/>
    <row r="35"/>
    <row r="36"/>
    <row r="37"/>
    <row r="38"/>
    <row r="39"/>
    <row r="40"/>
    <row r="41"/>
    <row r="42"/>
    <row r="43"/>
    <row r="44"/>
    <row r="45"/>
  </sheetData>
  <autoFilter ref="A1:M32"/>
  <dataValidations count="2">
    <dataValidation sqref="J2:J32" showDropDown="0" showInputMessage="0" showErrorMessage="1" allowBlank="1" errorTitle="Result" error="Choose Pass, Fail, Blocked or Not tested." type="list" errorStyle="stop">
      <formula1>"Pass,Fail,Blocked,Not tested"</formula1>
    </dataValidation>
    <dataValidation sqref="M2:M32" showDropDown="0" showInputMessage="0" showErrorMessage="1" allowBlank="1" error="Enter a date, e.g. 2026-10-23." type="date" errorStyle="stop" operator="greaterThan">
      <formula1>DATE(2026,1,1)</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2" customWidth="1" min="1" max="1"/>
    <col width="10" customWidth="1" min="2" max="2"/>
    <col width="14" customWidth="1" min="3" max="3"/>
    <col width="16" customWidth="1" min="4" max="4"/>
    <col width="14" customWidth="1" min="5" max="5"/>
  </cols>
  <sheetData>
    <row r="1">
      <c r="A1" s="12" t="inlineStr">
        <is>
          <t>Test results summary</t>
        </is>
      </c>
    </row>
    <row r="2"/>
    <row r="3">
      <c r="A3" s="5" t="inlineStr">
        <is>
          <t>Result</t>
        </is>
      </c>
      <c r="B3" s="5" t="inlineStr">
        <is>
          <t>All</t>
        </is>
      </c>
      <c r="C3" s="5" t="inlineStr">
        <is>
          <t>High priority</t>
        </is>
      </c>
      <c r="D3" s="5" t="inlineStr">
        <is>
          <t>Medium priority</t>
        </is>
      </c>
      <c r="E3" s="5" t="inlineStr">
        <is>
          <t>Low priority</t>
        </is>
      </c>
    </row>
    <row r="4">
      <c r="A4" s="13" t="inlineStr">
        <is>
          <t>Pass</t>
        </is>
      </c>
      <c r="B4" s="14">
        <f>COUNTIF('Test cases'!$J$2:$J$32,"Pass")</f>
        <v/>
      </c>
      <c r="C4" s="14">
        <f>COUNTIFS('Test cases'!$J$2:$J$32,"Pass",'Test cases'!$I$2:$I$32,"High")</f>
        <v/>
      </c>
      <c r="D4" s="14">
        <f>COUNTIFS('Test cases'!$J$2:$J$32,"Pass",'Test cases'!$I$2:$I$32,"Medium")</f>
        <v/>
      </c>
      <c r="E4" s="14">
        <f>COUNTIFS('Test cases'!$J$2:$J$32,"Pass",'Test cases'!$I$2:$I$32,"Low")</f>
        <v/>
      </c>
    </row>
    <row r="5">
      <c r="A5" s="13" t="inlineStr">
        <is>
          <t>Fail</t>
        </is>
      </c>
      <c r="B5" s="14">
        <f>COUNTIF('Test cases'!$J$2:$J$32,"Fail")</f>
        <v/>
      </c>
      <c r="C5" s="14">
        <f>COUNTIFS('Test cases'!$J$2:$J$32,"Fail",'Test cases'!$I$2:$I$32,"High")</f>
        <v/>
      </c>
      <c r="D5" s="14">
        <f>COUNTIFS('Test cases'!$J$2:$J$32,"Fail",'Test cases'!$I$2:$I$32,"Medium")</f>
        <v/>
      </c>
      <c r="E5" s="14">
        <f>COUNTIFS('Test cases'!$J$2:$J$32,"Fail",'Test cases'!$I$2:$I$32,"Low")</f>
        <v/>
      </c>
    </row>
    <row r="6">
      <c r="A6" s="13" t="inlineStr">
        <is>
          <t>Blocked</t>
        </is>
      </c>
      <c r="B6" s="14">
        <f>COUNTIF('Test cases'!$J$2:$J$32,"Blocked")</f>
        <v/>
      </c>
      <c r="C6" s="14">
        <f>COUNTIFS('Test cases'!$J$2:$J$32,"Blocked",'Test cases'!$I$2:$I$32,"High")</f>
        <v/>
      </c>
      <c r="D6" s="14">
        <f>COUNTIFS('Test cases'!$J$2:$J$32,"Blocked",'Test cases'!$I$2:$I$32,"Medium")</f>
        <v/>
      </c>
      <c r="E6" s="14">
        <f>COUNTIFS('Test cases'!$J$2:$J$32,"Blocked",'Test cases'!$I$2:$I$32,"Low")</f>
        <v/>
      </c>
    </row>
    <row r="7">
      <c r="A7" s="13" t="inlineStr">
        <is>
          <t>Not tested</t>
        </is>
      </c>
      <c r="B7" s="14">
        <f>COUNTIF('Test cases'!$J$2:$J$32,"Not tested")+COUNTBLANK('Test cases'!$J$2:$J$32)</f>
        <v/>
      </c>
      <c r="C7" s="14">
        <f>COUNTIFS('Test cases'!$J$2:$J$32,"Not tested",'Test cases'!$I$2:$I$32,"High")+COUNTIFS('Test cases'!$J$2:$J$32,"",'Test cases'!$I$2:$I$32,"High")</f>
        <v/>
      </c>
      <c r="D7" s="14">
        <f>COUNTIFS('Test cases'!$J$2:$J$32,"Not tested",'Test cases'!$I$2:$I$32,"Medium")+COUNTIFS('Test cases'!$J$2:$J$32,"",'Test cases'!$I$2:$I$32,"Medium")</f>
        <v/>
      </c>
      <c r="E7" s="14">
        <f>COUNTIFS('Test cases'!$J$2:$J$32,"Not tested",'Test cases'!$I$2:$I$32,"Low")+COUNTIFS('Test cases'!$J$2:$J$32,"",'Test cases'!$I$2:$I$32,"Low")</f>
        <v/>
      </c>
    </row>
    <row r="8">
      <c r="A8" s="13" t="inlineStr">
        <is>
          <t>Total test cases</t>
        </is>
      </c>
      <c r="B8" s="14">
        <f>COUNTA('Test cases'!$A$2:$A$32)</f>
        <v/>
      </c>
      <c r="C8" s="14">
        <f>COUNTIF('Test cases'!$I$2:$I$32,"High")</f>
        <v/>
      </c>
      <c r="D8" s="14">
        <f>COUNTIF('Test cases'!$I$2:$I$32,"Medium")</f>
        <v/>
      </c>
      <c r="E8" s="14">
        <f>COUNTIF('Test cases'!$I$2:$I$32,"Low")</f>
        <v/>
      </c>
    </row>
    <row r="9">
      <c r="A9" s="15" t="n"/>
      <c r="B9" s="15" t="n"/>
      <c r="C9" s="15" t="n"/>
      <c r="D9" s="15" t="n"/>
      <c r="E9" s="15" t="n"/>
    </row>
    <row r="10">
      <c r="A10" s="13" t="inlineStr">
        <is>
          <t>Tested so far</t>
        </is>
      </c>
      <c r="B10" s="16">
        <f>IF(B8=0,0,(B4+B5+B6)/B8)</f>
        <v/>
      </c>
      <c r="C10" s="15" t="n"/>
      <c r="D10" s="15" t="n"/>
      <c r="E10" s="15" t="n"/>
    </row>
    <row r="11">
      <c r="A11" s="13" t="inlineStr">
        <is>
          <t>Passed of tested</t>
        </is>
      </c>
      <c r="B11" s="16">
        <f>IF((B4+B5+B6)=0,0,B4/(B4+B5+B6))</f>
        <v/>
      </c>
      <c r="C11" s="15" t="n"/>
      <c r="D11" s="15" t="n"/>
      <c r="E11" s="15" t="n"/>
    </row>
    <row r="12"/>
    <row r="13">
      <c r="A13" s="17" t="inlineStr">
        <is>
          <t>Counts update automatically from the Result column of “Test cases”. A blank Result counts as Not tested.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2026-10-21T10:22:10Z</dcterms:created>
  <dcterms:modified xmlns:dcterms="http://purl.org/dc/terms/" xmlns:xsi="http://www.w3.org/2001/XMLSchema-instance" xsi:type="dcterms:W3CDTF">2026-10-29T12:23:33Z</dcterms:modified>
</cp:coreProperties>
</file>